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251" windowHeight="9780"/>
  </bookViews>
  <sheets>
    <sheet name="Invoice" sheetId="1" r:id="rId1"/>
  </sheets>
  <definedNames>
    <definedName name="_xlnm.Print_Area" localSheetId="0">Invoice!$B$2:$R$59,Invoice!$T$2:$AJ$59,Invoice!$AL$2:$BB$59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<sst xmlns="http://schemas.openxmlformats.org/spreadsheetml/2006/main" count="336" uniqueCount="87">
  <si>
    <r>
      <rPr>
        <b/>
        <sz val="26"/>
        <color theme="1"/>
        <rFont val="Tahoma"/>
        <charset val="134"/>
      </rPr>
      <t>บริษัท</t>
    </r>
    <r>
      <rPr>
        <b/>
        <sz val="26"/>
        <color theme="1"/>
        <rFont val="Angsana New"/>
        <charset val="134"/>
      </rPr>
      <t xml:space="preserve"> </t>
    </r>
    <r>
      <rPr>
        <b/>
        <sz val="26"/>
        <color theme="1"/>
        <rFont val="Tahoma"/>
        <charset val="134"/>
      </rPr>
      <t>เจินเวสเทิร์น</t>
    </r>
    <r>
      <rPr>
        <b/>
        <sz val="26"/>
        <color theme="1"/>
        <rFont val="Angsana New"/>
        <charset val="134"/>
      </rPr>
      <t xml:space="preserve"> </t>
    </r>
    <r>
      <rPr>
        <b/>
        <sz val="26"/>
        <color theme="1"/>
        <rFont val="Tahoma"/>
        <charset val="134"/>
      </rPr>
      <t>เทคโนโลยี</t>
    </r>
    <r>
      <rPr>
        <b/>
        <sz val="26"/>
        <color theme="1"/>
        <rFont val="Angsana New"/>
        <charset val="134"/>
      </rPr>
      <t xml:space="preserve"> (</t>
    </r>
    <r>
      <rPr>
        <b/>
        <sz val="26"/>
        <color theme="1"/>
        <rFont val="Tahoma"/>
        <charset val="134"/>
      </rPr>
      <t>ไทยแลนด์</t>
    </r>
    <r>
      <rPr>
        <b/>
        <sz val="26"/>
        <color theme="1"/>
        <rFont val="Angsana New"/>
        <charset val="134"/>
      </rPr>
      <t xml:space="preserve">) </t>
    </r>
    <r>
      <rPr>
        <b/>
        <sz val="26"/>
        <color theme="1"/>
        <rFont val="Tahoma"/>
        <charset val="134"/>
      </rPr>
      <t>จำกัด</t>
    </r>
  </si>
  <si>
    <t>ต้นฉบับ
ORIGINAL</t>
  </si>
  <si>
    <t>สำเนา
COPY</t>
  </si>
  <si>
    <t xml:space="preserve">    ZHENWESTERN TECHNOLOGIES(THAILAND) CO.,LTD.</t>
  </si>
  <si>
    <t>สำนักงานใหญ่    : 447/48 หมู่ที่ 3 ตำบลหนองไผ่แก้ว อำเภอบ้านบึง จังหวัดชลบุรี 20220</t>
  </si>
  <si>
    <r>
      <rPr>
        <sz val="11"/>
        <color theme="1"/>
        <rFont val="Leelawadee"/>
        <charset val="134"/>
      </rPr>
      <t>Head Office    : 447/48,Moo 3</t>
    </r>
    <r>
      <rPr>
        <sz val="11"/>
        <color theme="1"/>
        <rFont val="宋体"/>
        <charset val="134"/>
      </rPr>
      <t>，</t>
    </r>
    <r>
      <rPr>
        <sz val="11"/>
        <color theme="1"/>
        <rFont val="Leelawadee"/>
        <charset val="134"/>
      </rPr>
      <t>Nong Phai Kaeo</t>
    </r>
    <r>
      <rPr>
        <sz val="11"/>
        <color theme="1"/>
        <rFont val="宋体"/>
        <charset val="134"/>
      </rPr>
      <t>，</t>
    </r>
    <r>
      <rPr>
        <sz val="11"/>
        <color theme="1"/>
        <rFont val="Leelawadee"/>
        <charset val="134"/>
      </rPr>
      <t>Ban Bueng</t>
    </r>
    <r>
      <rPr>
        <sz val="11"/>
        <color theme="1"/>
        <rFont val="宋体"/>
        <charset val="134"/>
      </rPr>
      <t>，</t>
    </r>
    <r>
      <rPr>
        <sz val="11"/>
        <color theme="1"/>
        <rFont val="Leelawadee"/>
        <charset val="134"/>
      </rPr>
      <t>Chon Buri 20220</t>
    </r>
  </si>
  <si>
    <t>โทร/Tel. 0631657366      เลขประจำตัวผู้เสียภาษี/TAX ID 0105566051021</t>
  </si>
  <si>
    <t>ใบกำกับภาษี / ใบส่งสินค้า / ใบแจ้งหนี้</t>
  </si>
  <si>
    <t>สำเนาใบกำกับภาษี / ใบส่งสินค้า / ใบแจ้งหนี้</t>
  </si>
  <si>
    <t xml:space="preserve">     TAX INVOICE / DELIVERY ORDER / INVOICE</t>
  </si>
  <si>
    <t xml:space="preserve">     COPY TAX INVOICE / DELIVERY ORDER / INVOICE</t>
  </si>
  <si>
    <r>
      <rPr>
        <sz val="10"/>
        <color theme="1"/>
        <rFont val="Times New Roman"/>
        <charset val="134"/>
      </rPr>
      <t xml:space="preserve">  </t>
    </r>
    <r>
      <rPr>
        <sz val="10"/>
        <color theme="1"/>
        <rFont val="Leelawadee"/>
        <charset val="134"/>
      </rPr>
      <t>นามผู้ซื้อ</t>
    </r>
    <r>
      <rPr>
        <sz val="10"/>
        <color theme="1"/>
        <rFont val="Times New Roman"/>
        <charset val="134"/>
      </rPr>
      <t xml:space="preserve"> Customer Name</t>
    </r>
    <r>
      <rPr>
        <sz val="10"/>
        <color theme="1"/>
        <rFont val="宋体"/>
        <charset val="134"/>
      </rPr>
      <t>：</t>
    </r>
  </si>
  <si>
    <t>Customer Name</t>
  </si>
  <si>
    <r>
      <rPr>
        <sz val="10"/>
        <color theme="1"/>
        <rFont val="Leelawadee"/>
        <charset val="134"/>
      </rPr>
      <t>เลขที่</t>
    </r>
    <r>
      <rPr>
        <sz val="10"/>
        <color theme="1"/>
        <rFont val="Times New Roman"/>
        <charset val="134"/>
      </rPr>
      <t>/ DocumentNo.</t>
    </r>
    <r>
      <rPr>
        <sz val="10"/>
        <color theme="1"/>
        <rFont val="宋体"/>
        <charset val="134"/>
      </rPr>
      <t>：</t>
    </r>
  </si>
  <si>
    <t>DocumentNo</t>
  </si>
  <si>
    <r>
      <rPr>
        <sz val="10"/>
        <color theme="1"/>
        <rFont val="Times New Roman"/>
        <charset val="134"/>
      </rPr>
      <t xml:space="preserve">   </t>
    </r>
    <r>
      <rPr>
        <sz val="10"/>
        <color theme="1"/>
        <rFont val="Leelawadee"/>
        <charset val="134"/>
      </rPr>
      <t>ที่อยู่</t>
    </r>
    <r>
      <rPr>
        <sz val="10"/>
        <color theme="1"/>
        <rFont val="Times New Roman"/>
        <charset val="134"/>
      </rPr>
      <t xml:space="preserve"> /Address</t>
    </r>
  </si>
  <si>
    <t>Customer Address</t>
  </si>
  <si>
    <r>
      <rPr>
        <sz val="10"/>
        <color theme="1"/>
        <rFont val="Leelawadee"/>
        <charset val="134"/>
      </rPr>
      <t>วันที่</t>
    </r>
    <r>
      <rPr>
        <sz val="10"/>
        <color theme="1"/>
        <rFont val="Times New Roman"/>
        <charset val="134"/>
      </rPr>
      <t>/ Date</t>
    </r>
    <r>
      <rPr>
        <sz val="10"/>
        <color theme="1"/>
        <rFont val="宋体"/>
        <charset val="134"/>
      </rPr>
      <t>：</t>
    </r>
  </si>
  <si>
    <t>FX Date</t>
  </si>
  <si>
    <r>
      <rPr>
        <sz val="10"/>
        <color theme="1"/>
        <rFont val="Times New Roman"/>
        <charset val="134"/>
      </rPr>
      <t xml:space="preserve">   </t>
    </r>
    <r>
      <rPr>
        <sz val="10"/>
        <color theme="1"/>
        <rFont val="Leelawadee"/>
        <charset val="134"/>
      </rPr>
      <t>เลขประจำตัวผู้เสียภาษี</t>
    </r>
    <r>
      <rPr>
        <sz val="10"/>
        <color theme="1"/>
        <rFont val="Times New Roman"/>
        <charset val="134"/>
      </rPr>
      <t>/TAX ID</t>
    </r>
  </si>
  <si>
    <t>TAX ID</t>
  </si>
  <si>
    <r>
      <rPr>
        <b/>
        <sz val="10"/>
        <color theme="1"/>
        <rFont val="Leelawadee"/>
        <charset val="134"/>
      </rPr>
      <t>ชื่อ</t>
    </r>
    <r>
      <rPr>
        <b/>
        <sz val="10"/>
        <color theme="1"/>
        <rFont val="Times New Roman"/>
        <charset val="134"/>
      </rPr>
      <t>/Benificial Name</t>
    </r>
  </si>
  <si>
    <r>
      <rPr>
        <sz val="10"/>
        <color theme="1"/>
        <rFont val="Leelawadee"/>
        <charset val="134"/>
      </rPr>
      <t>บริษัท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Leelawadee"/>
        <charset val="134"/>
      </rPr>
      <t>เจินเวสเทิร์น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Leelawadee"/>
        <charset val="134"/>
      </rPr>
      <t>เทคโนโลยี</t>
    </r>
    <r>
      <rPr>
        <sz val="10"/>
        <color theme="1"/>
        <rFont val="Times New Roman"/>
        <charset val="134"/>
      </rPr>
      <t xml:space="preserve"> (</t>
    </r>
    <r>
      <rPr>
        <sz val="10"/>
        <color theme="1"/>
        <rFont val="Leelawadee"/>
        <charset val="134"/>
      </rPr>
      <t>ไทยแลนด์</t>
    </r>
    <r>
      <rPr>
        <sz val="10"/>
        <color theme="1"/>
        <rFont val="Times New Roman"/>
        <charset val="134"/>
      </rPr>
      <t xml:space="preserve">) </t>
    </r>
    <r>
      <rPr>
        <sz val="10"/>
        <color theme="1"/>
        <rFont val="Leelawadee"/>
        <charset val="134"/>
      </rPr>
      <t>จำกัด</t>
    </r>
  </si>
  <si>
    <r>
      <rPr>
        <sz val="10"/>
        <color theme="1"/>
        <rFont val="Times New Roman"/>
        <charset val="134"/>
      </rPr>
      <t xml:space="preserve">  </t>
    </r>
    <r>
      <rPr>
        <sz val="10"/>
        <color theme="1"/>
        <rFont val="Leelawadee"/>
        <charset val="134"/>
      </rPr>
      <t>ใบสั่งซื้อเลขที่</t>
    </r>
    <r>
      <rPr>
        <sz val="10"/>
        <color theme="1"/>
        <rFont val="Times New Roman"/>
        <charset val="134"/>
      </rPr>
      <t>/Purchase Order No.</t>
    </r>
  </si>
  <si>
    <t>PO No</t>
  </si>
  <si>
    <r>
      <rPr>
        <sz val="10"/>
        <color theme="1"/>
        <rFont val="Leelawadee"/>
        <charset val="134"/>
      </rPr>
      <t>เลขที่บัญชี</t>
    </r>
    <r>
      <rPr>
        <sz val="10"/>
        <color theme="1"/>
        <rFont val="Times New Roman"/>
        <charset val="134"/>
      </rPr>
      <t>/Account No</t>
    </r>
  </si>
  <si>
    <t xml:space="preserve"> 6991908924(THB)/6999011524(USD)</t>
  </si>
  <si>
    <r>
      <rPr>
        <sz val="10"/>
        <color theme="1"/>
        <rFont val="Times New Roman"/>
        <charset val="134"/>
      </rPr>
      <t xml:space="preserve">  </t>
    </r>
    <r>
      <rPr>
        <sz val="10"/>
        <color theme="1"/>
        <rFont val="Leelawadee"/>
        <charset val="134"/>
      </rPr>
      <t>พนักงานขาย</t>
    </r>
    <r>
      <rPr>
        <sz val="10"/>
        <color theme="1"/>
        <rFont val="Times New Roman"/>
        <charset val="134"/>
      </rPr>
      <t>/Salesman Name</t>
    </r>
  </si>
  <si>
    <r>
      <rPr>
        <sz val="10"/>
        <color theme="1"/>
        <rFont val="Leelawadee"/>
        <charset val="134"/>
      </rPr>
      <t>ธนาคาร</t>
    </r>
    <r>
      <rPr>
        <sz val="10"/>
        <color theme="1"/>
        <rFont val="Times New Roman"/>
        <charset val="134"/>
      </rPr>
      <t>/Bank Name</t>
    </r>
  </si>
  <si>
    <t>UNITED OVERSEAS BANK THAI PLC</t>
  </si>
  <si>
    <r>
      <rPr>
        <sz val="10"/>
        <color theme="1"/>
        <rFont val="Times New Roman"/>
        <charset val="134"/>
      </rPr>
      <t xml:space="preserve">  </t>
    </r>
    <r>
      <rPr>
        <sz val="10"/>
        <color theme="1"/>
        <rFont val="Leelawadee"/>
        <charset val="134"/>
      </rPr>
      <t>กำหนดชำระเงิน</t>
    </r>
    <r>
      <rPr>
        <sz val="10"/>
        <color theme="1"/>
        <rFont val="Times New Roman"/>
        <charset val="134"/>
      </rPr>
      <t>/Payment Term</t>
    </r>
  </si>
  <si>
    <t>Payment Term</t>
  </si>
  <si>
    <t>Swift Code</t>
  </si>
  <si>
    <t>UOVBTHBK</t>
  </si>
  <si>
    <t xml:space="preserve">   </t>
  </si>
  <si>
    <t xml:space="preserve">ลำดับ  </t>
  </si>
  <si>
    <t>ชื่อผลิตภัณฑ์</t>
  </si>
  <si>
    <t>ชื่อรุ่นผลิตภัณฑ์</t>
  </si>
  <si>
    <t>หน่วย</t>
  </si>
  <si>
    <t>จำนวน</t>
  </si>
  <si>
    <t>ราคา/หน่วย</t>
  </si>
  <si>
    <r>
      <rPr>
        <sz val="11"/>
        <color theme="1"/>
        <rFont val="Leelawadee"/>
        <charset val="134"/>
      </rPr>
      <t xml:space="preserve">  จำนวนเงิน(</t>
    </r>
    <r>
      <rPr>
        <sz val="8"/>
        <color theme="1"/>
        <rFont val="Leelawadee"/>
        <charset val="134"/>
      </rPr>
      <t>USD)</t>
    </r>
  </si>
  <si>
    <t>วันที่อัตรา
แลกเปลี่ยน</t>
  </si>
  <si>
    <t>อัตรา
แลกเปลี่ยน</t>
  </si>
  <si>
    <r>
      <rPr>
        <sz val="11"/>
        <color theme="1"/>
        <rFont val="Leelawadee"/>
        <charset val="134"/>
      </rPr>
      <t>จำนวนเงิน</t>
    </r>
    <r>
      <rPr>
        <sz val="8"/>
        <color theme="1"/>
        <rFont val="宋体"/>
        <charset val="134"/>
      </rPr>
      <t>（</t>
    </r>
    <r>
      <rPr>
        <sz val="8"/>
        <color theme="1"/>
        <rFont val="Leelawadee"/>
        <charset val="134"/>
      </rPr>
      <t>THB</t>
    </r>
    <r>
      <rPr>
        <sz val="8"/>
        <color theme="1"/>
        <rFont val="宋体"/>
        <charset val="134"/>
      </rPr>
      <t>）</t>
    </r>
  </si>
  <si>
    <r>
      <rPr>
        <sz val="11"/>
        <color theme="1"/>
        <rFont val="Leelawadee"/>
        <charset val="134"/>
      </rPr>
      <t>จำนวนเงิน</t>
    </r>
    <r>
      <rPr>
        <sz val="8"/>
        <color theme="1"/>
        <rFont val="宋体"/>
        <charset val="134"/>
      </rPr>
      <t>（</t>
    </r>
    <r>
      <rPr>
        <sz val="8"/>
        <color theme="1"/>
        <rFont val="Leelawadee"/>
        <charset val="134"/>
      </rPr>
      <t>USD</t>
    </r>
    <r>
      <rPr>
        <sz val="8"/>
        <color theme="1"/>
        <rFont val="宋体"/>
        <charset val="134"/>
      </rPr>
      <t>）</t>
    </r>
  </si>
  <si>
    <t>No.</t>
  </si>
  <si>
    <t>PRODUCT NAME</t>
  </si>
  <si>
    <t>PRODUCT CODE</t>
  </si>
  <si>
    <t>Unit</t>
  </si>
  <si>
    <t>Qty'</t>
  </si>
  <si>
    <t>Unit Price</t>
  </si>
  <si>
    <r>
      <rPr>
        <sz val="10"/>
        <color theme="1"/>
        <rFont val="Leelawadee"/>
        <charset val="134"/>
      </rPr>
      <t>Amount(</t>
    </r>
    <r>
      <rPr>
        <b/>
        <sz val="10"/>
        <color rgb="FFFF0000"/>
        <rFont val="Leelawadee"/>
        <charset val="134"/>
      </rPr>
      <t>USD</t>
    </r>
    <r>
      <rPr>
        <sz val="10"/>
        <color theme="1"/>
        <rFont val="Leelawadee"/>
        <charset val="134"/>
      </rPr>
      <t>)</t>
    </r>
  </si>
  <si>
    <t xml:space="preserve"> FX Date</t>
  </si>
  <si>
    <t>FX Rate</t>
  </si>
  <si>
    <r>
      <rPr>
        <sz val="10"/>
        <color theme="1"/>
        <rFont val="Leelawadee"/>
        <charset val="134"/>
      </rPr>
      <t>Amount(</t>
    </r>
    <r>
      <rPr>
        <b/>
        <sz val="10"/>
        <color rgb="FFFF0000"/>
        <rFont val="Leelawadee"/>
        <charset val="134"/>
      </rPr>
      <t>THB</t>
    </r>
    <r>
      <rPr>
        <sz val="10"/>
        <color theme="1"/>
        <rFont val="Leelawadee"/>
        <charset val="134"/>
      </rPr>
      <t>)</t>
    </r>
  </si>
  <si>
    <t>Item no</t>
  </si>
  <si>
    <t>Product Name or Service</t>
  </si>
  <si>
    <t>Product Code</t>
  </si>
  <si>
    <t>Quantity</t>
  </si>
  <si>
    <t>Unit Price USD</t>
  </si>
  <si>
    <t>FOB Rev USD</t>
  </si>
  <si>
    <t>FOB Rev THB</t>
  </si>
  <si>
    <t>ตัวอักษร.</t>
  </si>
  <si>
    <r>
      <rPr>
        <sz val="11"/>
        <color theme="1"/>
        <rFont val="Leelawadee"/>
        <charset val="134"/>
      </rPr>
      <t>รวมเงิน</t>
    </r>
    <r>
      <rPr>
        <sz val="11"/>
        <color theme="1"/>
        <rFont val="Times New Roman"/>
        <charset val="134"/>
      </rPr>
      <t xml:space="preserve"> (THB)
</t>
    </r>
    <r>
      <rPr>
        <sz val="8"/>
        <color theme="1"/>
        <rFont val="Times New Roman"/>
        <charset val="134"/>
      </rPr>
      <t>Total Amount</t>
    </r>
  </si>
  <si>
    <r>
      <rPr>
        <sz val="11"/>
        <color theme="1"/>
        <rFont val="Leelawadee"/>
        <charset val="134"/>
      </rPr>
      <t>รวมเงิน</t>
    </r>
    <r>
      <rPr>
        <sz val="11"/>
        <color theme="1"/>
        <rFont val="Times New Roman"/>
        <charset val="134"/>
      </rPr>
      <t xml:space="preserve">
</t>
    </r>
    <r>
      <rPr>
        <sz val="8"/>
        <color theme="1"/>
        <rFont val="Times New Roman"/>
        <charset val="134"/>
      </rPr>
      <t>Total Amount</t>
    </r>
  </si>
  <si>
    <r>
      <rPr>
        <sz val="11"/>
        <color theme="1"/>
        <rFont val="Leelawadee"/>
        <charset val="134"/>
      </rPr>
      <t xml:space="preserve">รวมเงิน
</t>
    </r>
    <r>
      <rPr>
        <sz val="8"/>
        <color theme="1"/>
        <rFont val="Leelawadee"/>
        <charset val="134"/>
      </rPr>
      <t>Total Amount</t>
    </r>
  </si>
  <si>
    <r>
      <rPr>
        <sz val="11"/>
        <color theme="1"/>
        <rFont val="Leelawadee"/>
        <charset val="134"/>
      </rPr>
      <t>รวมเงิน</t>
    </r>
    <r>
      <rPr>
        <sz val="11"/>
        <color theme="1"/>
        <rFont val="Times New Roman"/>
        <charset val="134"/>
      </rPr>
      <t xml:space="preserve">
Total Amount</t>
    </r>
  </si>
  <si>
    <t>หมายเหตุ :</t>
  </si>
  <si>
    <r>
      <rPr>
        <sz val="11"/>
        <color theme="1"/>
        <rFont val="Leelawadee"/>
        <charset val="134"/>
      </rPr>
      <t>ส่วนลด</t>
    </r>
    <r>
      <rPr>
        <sz val="11"/>
        <color theme="1"/>
        <rFont val="Times New Roman"/>
        <charset val="134"/>
      </rPr>
      <t xml:space="preserve">
</t>
    </r>
    <r>
      <rPr>
        <sz val="8"/>
        <color theme="1"/>
        <rFont val="Times New Roman"/>
        <charset val="134"/>
      </rPr>
      <t>Discount</t>
    </r>
  </si>
  <si>
    <r>
      <rPr>
        <sz val="11"/>
        <color theme="1"/>
        <rFont val="Leelawadee"/>
        <charset val="134"/>
      </rPr>
      <t>ส่วนลด</t>
    </r>
    <r>
      <rPr>
        <sz val="11"/>
        <color theme="1"/>
        <rFont val="Times New Roman"/>
        <charset val="134"/>
      </rPr>
      <t xml:space="preserve">
Discount</t>
    </r>
  </si>
  <si>
    <r>
      <rPr>
        <sz val="10"/>
        <color theme="1"/>
        <rFont val="Tahoma"/>
        <charset val="134"/>
      </rPr>
      <t>มูลค่าสินค้าหลังหักส่วนลด</t>
    </r>
    <r>
      <rPr>
        <sz val="10"/>
        <color theme="1"/>
        <rFont val="Times New Roman"/>
        <charset val="134"/>
      </rPr>
      <t xml:space="preserve">
Total  amount after discount </t>
    </r>
  </si>
  <si>
    <r>
      <rPr>
        <sz val="11"/>
        <color theme="1"/>
        <rFont val="Leelawadee"/>
        <charset val="134"/>
      </rPr>
      <t>ภาษีมูลค่าเพิ่ม</t>
    </r>
    <r>
      <rPr>
        <sz val="11"/>
        <color theme="1"/>
        <rFont val="Times New Roman"/>
        <charset val="134"/>
      </rPr>
      <t xml:space="preserve">
</t>
    </r>
    <r>
      <rPr>
        <sz val="9"/>
        <color theme="1"/>
        <rFont val="Times New Roman"/>
        <charset val="134"/>
      </rPr>
      <t>VAT</t>
    </r>
  </si>
  <si>
    <r>
      <rPr>
        <sz val="11"/>
        <color theme="1"/>
        <rFont val="Leelawadee"/>
        <charset val="134"/>
      </rPr>
      <t>ภาษีมูลค่าเพิ่ม</t>
    </r>
    <r>
      <rPr>
        <sz val="11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VAT</t>
    </r>
  </si>
  <si>
    <r>
      <rPr>
        <sz val="11"/>
        <color theme="1"/>
        <rFont val="Leelawadee"/>
        <charset val="134"/>
      </rPr>
      <t>ภาษีมูลค่าเพิ่ม</t>
    </r>
    <r>
      <rPr>
        <sz val="11"/>
        <color theme="1"/>
        <rFont val="Times New Roman"/>
        <charset val="134"/>
      </rPr>
      <t xml:space="preserve">
VAT</t>
    </r>
  </si>
  <si>
    <r>
      <rPr>
        <sz val="11"/>
        <color theme="1"/>
        <rFont val="Times New Roman"/>
        <charset val="134"/>
      </rPr>
      <t xml:space="preserve">    </t>
    </r>
    <r>
      <rPr>
        <sz val="11"/>
        <color theme="1"/>
        <rFont val="Leelawadee"/>
        <charset val="134"/>
      </rPr>
      <t>ภาษีหัก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Leelawadee"/>
        <charset val="134"/>
      </rPr>
      <t>ณ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Leelawadee"/>
        <charset val="134"/>
      </rPr>
      <t>ที่จ่าย</t>
    </r>
  </si>
  <si>
    <t xml:space="preserve">    WHT</t>
  </si>
  <si>
    <r>
      <rPr>
        <sz val="11"/>
        <color theme="1"/>
        <rFont val="Leelawadee"/>
        <charset val="134"/>
      </rPr>
      <t>ยอดเงินสุทธิ</t>
    </r>
    <r>
      <rPr>
        <sz val="11"/>
        <color theme="1"/>
        <rFont val="Times New Roman"/>
        <charset val="134"/>
      </rPr>
      <t xml:space="preserve">
</t>
    </r>
    <r>
      <rPr>
        <sz val="8"/>
        <color theme="1"/>
        <rFont val="Times New Roman"/>
        <charset val="134"/>
      </rPr>
      <t xml:space="preserve">Grand Total </t>
    </r>
  </si>
  <si>
    <t>ได้รับสินค้าตามรายการข้างบนไว้เรียบร้อยแล้ว</t>
  </si>
  <si>
    <t>ในนาม บริษัท เจินเวสเทิร์น เทคโนโลยี (ไทยแลนด์) จำกัด</t>
  </si>
  <si>
    <t>The Above Good Oder &amp; Condition</t>
  </si>
  <si>
    <t>On behalf of ZHENWESTERN TECHNOLOGIES(THAILAND) CO.,LTD.</t>
  </si>
  <si>
    <r>
      <rPr>
        <sz val="11"/>
        <color theme="1"/>
        <rFont val="Leelawadee"/>
        <charset val="134"/>
      </rPr>
      <t xml:space="preserve"> ผู้รับสินค้า/</t>
    </r>
    <r>
      <rPr>
        <sz val="10"/>
        <color theme="1"/>
        <rFont val="Leelawadee"/>
        <charset val="134"/>
      </rPr>
      <t>Received By</t>
    </r>
  </si>
  <si>
    <r>
      <rPr>
        <sz val="11"/>
        <color theme="1"/>
        <rFont val="Leelawadee"/>
        <charset val="134"/>
      </rPr>
      <t>ผู้ส่งสินค้า/</t>
    </r>
    <r>
      <rPr>
        <sz val="10"/>
        <color theme="1"/>
        <rFont val="Leelawadee"/>
        <charset val="134"/>
      </rPr>
      <t>Delivered By</t>
    </r>
  </si>
  <si>
    <r>
      <rPr>
        <sz val="11"/>
        <color theme="1"/>
        <rFont val="Leelawadee"/>
        <charset val="134"/>
      </rPr>
      <t xml:space="preserve"> วันที่/</t>
    </r>
    <r>
      <rPr>
        <sz val="10"/>
        <color theme="1"/>
        <rFont val="Leelawadee"/>
        <charset val="134"/>
      </rPr>
      <t>Date</t>
    </r>
  </si>
  <si>
    <r>
      <rPr>
        <sz val="11"/>
        <color theme="1"/>
        <rFont val="Leelawadee"/>
        <charset val="134"/>
      </rPr>
      <t>วันที่/</t>
    </r>
    <r>
      <rPr>
        <sz val="10"/>
        <color theme="1"/>
        <rFont val="Leelawadee"/>
        <charset val="134"/>
      </rPr>
      <t>Date</t>
    </r>
  </si>
  <si>
    <t>ผู้มีอำนาจลงนาม/Authorized Signature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</si>
</sst>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_-* #,##0.000_-;\-* #,##0.000_-;_-* &quot;-&quot;??_-;_-@_-"/>
    <numFmt numFmtId="178" formatCode="[$-1000000]0\ 0000\ 00000\ 00\ 0"/>
    <numFmt numFmtId="179" formatCode="#,##0.0000"/>
    <numFmt numFmtId="180" formatCode="#,##0_ ;[Red]\-\ #,##0_ ;"/>
    <numFmt numFmtId="181" formatCode="#,##0.0000_ ;[Red]\-#,##0.0000\ "/>
    <numFmt numFmtId="182" formatCode="#,##0.00_ ;[Red]\-\ #,##0.00_ ;"/>
  </numFmts>
  <fonts count="54">
    <font>
      <sz val="11"/>
      <color indexed="8"/>
      <name val="Tahoma"/>
      <charset val="134"/>
    </font>
    <font>
      <sz val="11"/>
      <color theme="1"/>
      <name val="Leelawadee"/>
      <charset val="134"/>
    </font>
    <font>
      <sz val="10"/>
      <color theme="1"/>
      <name val="Leelawadee"/>
      <charset val="134"/>
    </font>
    <font>
      <sz val="11"/>
      <color theme="1"/>
      <name val="Tahoma"/>
      <charset val="134"/>
    </font>
    <font>
      <sz val="12"/>
      <color theme="1"/>
      <name val="Tahoma"/>
      <charset val="134"/>
    </font>
    <font>
      <sz val="12"/>
      <color theme="1"/>
      <name val="Times New Roman"/>
      <charset val="134"/>
    </font>
    <font>
      <b/>
      <sz val="26"/>
      <color theme="1"/>
      <name val="Tahoma"/>
      <charset val="134"/>
    </font>
    <font>
      <b/>
      <sz val="17"/>
      <color theme="1"/>
      <name val="Leelawadee"/>
      <charset val="134"/>
    </font>
    <font>
      <b/>
      <sz val="15"/>
      <color theme="1"/>
      <name val="Leelawadee"/>
      <charset val="134"/>
    </font>
    <font>
      <b/>
      <sz val="11"/>
      <color theme="1"/>
      <name val="Leelawadee"/>
      <charset val="134"/>
    </font>
    <font>
      <sz val="10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indexed="8"/>
      <name val="Times New Roman"/>
      <charset val="134"/>
    </font>
    <font>
      <sz val="11"/>
      <name val="Times New Roman"/>
      <charset val="134"/>
    </font>
    <font>
      <sz val="8"/>
      <color theme="1"/>
      <name val="Leelawadee"/>
      <charset val="134"/>
    </font>
    <font>
      <b/>
      <sz val="10"/>
      <color theme="1"/>
      <name val="Times New Roman"/>
      <charset val="134"/>
    </font>
    <font>
      <b/>
      <sz val="10"/>
      <color theme="1"/>
      <name val="Leelawadee"/>
      <charset val="134"/>
    </font>
    <font>
      <sz val="11"/>
      <color theme="0"/>
      <name val="Leelawadee"/>
      <charset val="134"/>
    </font>
    <font>
      <sz val="12"/>
      <name val="Times New Roman"/>
      <charset val="134"/>
    </font>
    <font>
      <sz val="7"/>
      <name val="Times New Roman"/>
      <charset val="134"/>
    </font>
    <font>
      <sz val="10"/>
      <color theme="1"/>
      <name val="Tahoma"/>
      <charset val="134"/>
    </font>
    <font>
      <sz val="9"/>
      <color theme="1"/>
      <name val="Leelawadee"/>
      <charset val="134"/>
    </font>
    <font>
      <b/>
      <sz val="14"/>
      <color theme="1"/>
      <name val="Leelawadee"/>
      <charset val="134"/>
    </font>
    <font>
      <b/>
      <sz val="14"/>
      <color indexed="8"/>
      <name val="Leelawadee"/>
      <charset val="134"/>
    </font>
    <font>
      <b/>
      <sz val="18"/>
      <color theme="1"/>
      <name val="Leelawadee"/>
      <charset val="134"/>
    </font>
    <font>
      <sz val="12"/>
      <color theme="1"/>
      <name val="Leelawadee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b/>
      <sz val="26"/>
      <color theme="1"/>
      <name val="Angsana New"/>
      <charset val="134"/>
    </font>
    <font>
      <sz val="9"/>
      <color theme="1"/>
      <name val="Times New Roman"/>
      <charset val="134"/>
    </font>
    <font>
      <b/>
      <sz val="10"/>
      <color rgb="FFFF0000"/>
      <name val="Leelawadee"/>
      <charset val="134"/>
    </font>
    <font>
      <sz val="8"/>
      <color theme="1"/>
      <name val="Times New Roman"/>
      <charset val="134"/>
    </font>
    <font>
      <sz val="11"/>
      <color theme="1"/>
      <name val="宋体"/>
      <charset val="134"/>
    </font>
    <font>
      <sz val="8"/>
      <color theme="1"/>
      <name val="宋体"/>
      <charset val="134"/>
    </font>
    <font>
      <sz val="10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dashed">
        <color theme="0" tint="-0.14996795556505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theme="0" tint="-0.14996795556505"/>
      </top>
      <bottom style="thin">
        <color theme="0" tint="-0.14996795556505"/>
      </bottom>
      <diagonal/>
    </border>
    <border>
      <left style="thin">
        <color auto="1"/>
      </left>
      <right/>
      <top style="thin">
        <color theme="0" tint="-0.0499893185216834"/>
      </top>
      <bottom style="thin">
        <color theme="0" tint="-0.14996795556505"/>
      </bottom>
      <diagonal/>
    </border>
    <border>
      <left/>
      <right style="thin">
        <color auto="1"/>
      </right>
      <top style="thin">
        <color theme="0" tint="-0.0499893185216834"/>
      </top>
      <bottom style="thin">
        <color theme="0" tint="-0.14996795556505"/>
      </bottom>
      <diagonal/>
    </border>
    <border>
      <left/>
      <right/>
      <top style="thin">
        <color auto="1"/>
      </top>
      <bottom style="thin">
        <color theme="0" tint="-0.14999847407452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149998474074526"/>
      </bottom>
      <diagonal/>
    </border>
    <border>
      <left/>
      <right/>
      <top style="thin">
        <color theme="0" tint="-0.14996795556505"/>
      </top>
      <bottom style="thin">
        <color theme="0" tint="-0.14996795556505"/>
      </bottom>
      <diagonal/>
    </border>
    <border>
      <left style="thin">
        <color theme="1"/>
      </left>
      <right/>
      <top style="thin">
        <color theme="0" tint="-0.14996795556505"/>
      </top>
      <bottom style="thin">
        <color theme="0" tint="-0.14996795556505"/>
      </bottom>
      <diagonal/>
    </border>
    <border>
      <left style="medium">
        <color auto="1"/>
      </left>
      <right style="thin">
        <color auto="1"/>
      </right>
      <top style="thin">
        <color theme="0" tint="-0.14996795556505"/>
      </top>
      <bottom style="thin">
        <color auto="1"/>
      </bottom>
      <diagonal/>
    </border>
    <border>
      <left style="thin">
        <color auto="1"/>
      </left>
      <right/>
      <top style="thin">
        <color theme="0" tint="-0.0499893185216834"/>
      </top>
      <bottom style="thin">
        <color auto="1"/>
      </bottom>
      <diagonal/>
    </border>
    <border>
      <left/>
      <right style="thin">
        <color auto="1"/>
      </right>
      <top style="thin">
        <color theme="0" tint="-0.0499893185216834"/>
      </top>
      <bottom style="thin">
        <color auto="1"/>
      </bottom>
      <diagonal/>
    </border>
    <border>
      <left/>
      <right/>
      <top style="thin">
        <color theme="0" tint="-0.14996795556505"/>
      </top>
      <bottom style="thin">
        <color auto="1"/>
      </bottom>
      <diagonal/>
    </border>
    <border>
      <left style="thin">
        <color theme="1"/>
      </left>
      <right/>
      <top style="thin">
        <color theme="0" tint="-0.14996795556505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dashed">
        <color theme="0" tint="-0.149998474074526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theme="0" tint="-0.149998474074526"/>
      </bottom>
      <diagonal/>
    </border>
    <border>
      <left/>
      <right style="thin">
        <color auto="1"/>
      </right>
      <top style="thin">
        <color theme="0" tint="-0.14996795556505"/>
      </top>
      <bottom style="thin">
        <color theme="0" tint="-0.14996795556505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auto="1"/>
      </left>
      <right style="thin">
        <color auto="1"/>
      </right>
      <top style="thin">
        <color theme="0" tint="-0.14996795556505"/>
      </top>
      <bottom style="thin">
        <color theme="0" tint="-0.14996795556505"/>
      </bottom>
      <diagonal/>
    </border>
    <border>
      <left/>
      <right/>
      <top/>
      <bottom style="thin">
        <color theme="0" tint="-0.14996795556505"/>
      </bottom>
      <diagonal/>
    </border>
    <border>
      <left style="thin">
        <color auto="1"/>
      </left>
      <right/>
      <top style="thin">
        <color theme="0" tint="-0.14996795556505"/>
      </top>
      <bottom style="thin">
        <color theme="0" tint="-0.14996795556505"/>
      </bottom>
      <diagonal/>
    </border>
    <border>
      <left style="thin">
        <color theme="1"/>
      </left>
      <right style="thin">
        <color theme="1"/>
      </right>
      <top style="thin">
        <color theme="0" tint="-0.14996795556505"/>
      </top>
      <bottom style="thin">
        <color auto="1"/>
      </bottom>
      <diagonal/>
    </border>
    <border>
      <left/>
      <right style="thin">
        <color auto="1"/>
      </right>
      <top style="thin">
        <color theme="0" tint="-0.14996795556505"/>
      </top>
      <bottom style="thin">
        <color auto="1"/>
      </bottom>
      <diagonal/>
    </border>
    <border>
      <left style="thin">
        <color auto="1"/>
      </left>
      <right/>
      <top style="thin">
        <color theme="0" tint="-0.14996795556505"/>
      </top>
      <bottom style="thin">
        <color auto="1"/>
      </bottom>
      <diagonal/>
    </border>
    <border>
      <left/>
      <right/>
      <top style="thin">
        <color theme="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14996795556505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dotted">
        <color theme="0" tint="-0.149998474074526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theme="0" tint="-0.14996795556505"/>
      </top>
      <bottom style="thin">
        <color theme="0" tint="-0.14996795556505"/>
      </bottom>
      <diagonal/>
    </border>
    <border>
      <left style="thin">
        <color auto="1"/>
      </left>
      <right style="medium">
        <color auto="1"/>
      </right>
      <top style="thin">
        <color theme="0" tint="-0.14996795556505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/>
    <xf numFmtId="44" fontId="26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5" borderId="61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62" applyNumberFormat="0" applyFill="0" applyAlignment="0" applyProtection="0">
      <alignment vertical="center"/>
    </xf>
    <xf numFmtId="0" fontId="33" fillId="0" borderId="62" applyNumberFormat="0" applyFill="0" applyAlignment="0" applyProtection="0">
      <alignment vertical="center"/>
    </xf>
    <xf numFmtId="0" fontId="34" fillId="0" borderId="63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6" borderId="64" applyNumberFormat="0" applyAlignment="0" applyProtection="0">
      <alignment vertical="center"/>
    </xf>
    <xf numFmtId="0" fontId="36" fillId="7" borderId="65" applyNumberFormat="0" applyAlignment="0" applyProtection="0">
      <alignment vertical="center"/>
    </xf>
    <xf numFmtId="0" fontId="37" fillId="7" borderId="64" applyNumberFormat="0" applyAlignment="0" applyProtection="0">
      <alignment vertical="center"/>
    </xf>
    <xf numFmtId="0" fontId="38" fillId="8" borderId="66" applyNumberFormat="0" applyAlignment="0" applyProtection="0">
      <alignment vertical="center"/>
    </xf>
    <xf numFmtId="0" fontId="39" fillId="0" borderId="67" applyNumberFormat="0" applyFill="0" applyAlignment="0" applyProtection="0">
      <alignment vertical="center"/>
    </xf>
    <xf numFmtId="0" fontId="40" fillId="0" borderId="68" applyNumberFormat="0" applyFill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</cellStyleXfs>
  <cellXfs count="275">
    <xf numFmtId="0" fontId="0" fillId="0" borderId="0" xfId="0"/>
    <xf numFmtId="0" fontId="1" fillId="2" borderId="0" xfId="0" applyFont="1" applyFill="1" applyAlignment="1" applyProtection="1"/>
    <xf numFmtId="0" fontId="1" fillId="2" borderId="0" xfId="0" applyFont="1" applyFill="1" applyAlignment="1" applyProtection="1">
      <alignment vertical="top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 applyProtection="1">
      <alignment vertical="center"/>
    </xf>
    <xf numFmtId="0" fontId="4" fillId="2" borderId="0" xfId="0" applyFont="1" applyFill="1" applyAlignment="1" applyProtection="1">
      <alignment vertical="center"/>
    </xf>
    <xf numFmtId="0" fontId="5" fillId="2" borderId="0" xfId="0" applyFont="1" applyFill="1" applyAlignment="1" applyProtection="1">
      <alignment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177" fontId="1" fillId="2" borderId="0" xfId="0" applyNumberFormat="1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1" fillId="3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horizontal="left" vertical="center"/>
    </xf>
    <xf numFmtId="0" fontId="7" fillId="2" borderId="0" xfId="0" applyFont="1" applyFill="1" applyAlignment="1" applyProtection="1">
      <alignment horizontal="center" vertical="center"/>
    </xf>
    <xf numFmtId="0" fontId="1" fillId="2" borderId="0" xfId="0" applyFont="1" applyFill="1" applyAlignment="1" applyProtection="1">
      <alignment horizontal="left" vertical="center"/>
    </xf>
    <xf numFmtId="0" fontId="1" fillId="3" borderId="0" xfId="0" applyFont="1" applyFill="1" applyAlignment="1" applyProtection="1"/>
    <xf numFmtId="0" fontId="8" fillId="2" borderId="0" xfId="0" applyFont="1" applyFill="1" applyAlignment="1" applyProtection="1">
      <alignment horizontal="center"/>
    </xf>
    <xf numFmtId="0" fontId="1" fillId="3" borderId="0" xfId="0" applyFont="1" applyFill="1" applyAlignment="1" applyProtection="1">
      <alignment vertical="top"/>
    </xf>
    <xf numFmtId="0" fontId="9" fillId="2" borderId="0" xfId="0" applyFont="1" applyFill="1" applyAlignment="1" applyProtection="1">
      <alignment horizontal="center" vertical="top"/>
    </xf>
    <xf numFmtId="0" fontId="1" fillId="3" borderId="0" xfId="0" applyFont="1" applyFill="1" applyBorder="1" applyAlignment="1" applyProtection="1">
      <alignment vertical="center"/>
    </xf>
    <xf numFmtId="0" fontId="10" fillId="2" borderId="0" xfId="0" applyFont="1" applyFill="1" applyAlignment="1" applyProtection="1">
      <alignment horizontal="left" vertical="center"/>
    </xf>
    <xf numFmtId="0" fontId="10" fillId="2" borderId="0" xfId="0" applyFont="1" applyFill="1" applyAlignment="1" applyProtection="1">
      <alignment vertical="center"/>
    </xf>
    <xf numFmtId="0" fontId="10" fillId="2" borderId="1" xfId="0" applyFont="1" applyFill="1" applyBorder="1" applyAlignment="1" applyProtection="1">
      <alignment vertical="center"/>
    </xf>
    <xf numFmtId="0" fontId="10" fillId="2" borderId="0" xfId="0" applyFont="1" applyFill="1" applyBorder="1" applyAlignment="1" applyProtection="1">
      <alignment vertical="center"/>
    </xf>
    <xf numFmtId="0" fontId="10" fillId="2" borderId="0" xfId="0" applyFont="1" applyFill="1" applyBorder="1" applyAlignment="1" applyProtection="1">
      <alignment horizontal="left" vertical="center" indent="1"/>
    </xf>
    <xf numFmtId="0" fontId="10" fillId="2" borderId="0" xfId="0" applyFont="1" applyFill="1" applyBorder="1" applyAlignment="1" applyProtection="1">
      <alignment horizontal="left" vertical="center"/>
    </xf>
    <xf numFmtId="49" fontId="10" fillId="2" borderId="0" xfId="0" applyNumberFormat="1" applyFont="1" applyFill="1" applyBorder="1" applyAlignment="1" applyProtection="1">
      <alignment horizontal="left" vertical="center"/>
    </xf>
    <xf numFmtId="0" fontId="10" fillId="0" borderId="1" xfId="0" applyFont="1" applyFill="1" applyBorder="1" applyAlignment="1" applyProtection="1">
      <alignment vertical="center"/>
    </xf>
    <xf numFmtId="178" fontId="1" fillId="2" borderId="0" xfId="0" applyNumberFormat="1" applyFont="1" applyFill="1" applyBorder="1" applyAlignment="1" applyProtection="1">
      <alignment vertical="center"/>
    </xf>
    <xf numFmtId="0" fontId="1" fillId="3" borderId="0" xfId="0" applyFont="1" applyFill="1" applyBorder="1" applyAlignment="1" applyProtection="1">
      <alignment horizontal="center" vertical="center"/>
    </xf>
    <xf numFmtId="0" fontId="1" fillId="0" borderId="2" xfId="0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1" fillId="0" borderId="5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/>
    </xf>
    <xf numFmtId="0" fontId="2" fillId="3" borderId="0" xfId="0" applyFont="1" applyFill="1" applyAlignment="1" applyProtection="1">
      <alignment horizontal="center" vertical="center"/>
    </xf>
    <xf numFmtId="0" fontId="2" fillId="0" borderId="7" xfId="0" applyFont="1" applyFill="1" applyBorder="1" applyAlignment="1" applyProtection="1">
      <alignment horizontal="center" vertical="center"/>
    </xf>
    <xf numFmtId="0" fontId="2" fillId="0" borderId="8" xfId="0" applyNumberFormat="1" applyFont="1" applyFill="1" applyBorder="1" applyAlignment="1" applyProtection="1">
      <alignment horizontal="center" vertical="center"/>
    </xf>
    <xf numFmtId="0" fontId="2" fillId="0" borderId="9" xfId="0" applyNumberFormat="1" applyFont="1" applyFill="1" applyBorder="1" applyAlignment="1" applyProtection="1">
      <alignment horizontal="center" vertical="center"/>
    </xf>
    <xf numFmtId="0" fontId="2" fillId="0" borderId="10" xfId="0" applyNumberFormat="1" applyFont="1" applyFill="1" applyBorder="1" applyAlignment="1" applyProtection="1">
      <alignment horizontal="center" vertical="center"/>
    </xf>
    <xf numFmtId="0" fontId="2" fillId="0" borderId="11" xfId="0" applyNumberFormat="1" applyFont="1" applyFill="1" applyBorder="1" applyAlignment="1" applyProtection="1">
      <alignment horizontal="center" vertical="center"/>
    </xf>
    <xf numFmtId="0" fontId="3" fillId="3" borderId="0" xfId="0" applyFont="1" applyFill="1" applyAlignment="1" applyProtection="1">
      <alignment vertical="center"/>
    </xf>
    <xf numFmtId="1" fontId="11" fillId="2" borderId="12" xfId="0" applyNumberFormat="1" applyFont="1" applyFill="1" applyBorder="1" applyAlignment="1" applyProtection="1">
      <alignment horizontal="center" vertical="center"/>
    </xf>
    <xf numFmtId="4" fontId="11" fillId="0" borderId="13" xfId="0" applyNumberFormat="1" applyFont="1" applyFill="1" applyBorder="1" applyAlignment="1" applyProtection="1">
      <alignment vertical="center"/>
    </xf>
    <xf numFmtId="4" fontId="11" fillId="0" borderId="14" xfId="0" applyNumberFormat="1" applyFont="1" applyFill="1" applyBorder="1" applyAlignment="1" applyProtection="1">
      <alignment vertical="center"/>
    </xf>
    <xf numFmtId="0" fontId="12" fillId="0" borderId="15" xfId="0" applyFont="1" applyFill="1" applyBorder="1" applyAlignment="1" applyProtection="1">
      <alignment vertical="center"/>
    </xf>
    <xf numFmtId="0" fontId="12" fillId="0" borderId="15" xfId="0" applyFont="1" applyFill="1" applyBorder="1" applyAlignment="1" applyProtection="1">
      <alignment vertical="center" wrapText="1"/>
    </xf>
    <xf numFmtId="0" fontId="12" fillId="0" borderId="16" xfId="0" applyFont="1" applyFill="1" applyBorder="1" applyAlignment="1" applyProtection="1">
      <alignment horizontal="center" vertical="center" wrapText="1"/>
    </xf>
    <xf numFmtId="4" fontId="13" fillId="2" borderId="17" xfId="0" applyNumberFormat="1" applyFont="1" applyFill="1" applyBorder="1" applyAlignment="1" applyProtection="1">
      <alignment vertical="center"/>
    </xf>
    <xf numFmtId="4" fontId="13" fillId="2" borderId="18" xfId="0" applyNumberFormat="1" applyFont="1" applyFill="1" applyBorder="1" applyAlignment="1" applyProtection="1">
      <alignment horizontal="center" vertical="center"/>
    </xf>
    <xf numFmtId="4" fontId="13" fillId="2" borderId="17" xfId="0" applyNumberFormat="1" applyFont="1" applyFill="1" applyBorder="1" applyAlignment="1" applyProtection="1">
      <alignment horizontal="left" vertical="center"/>
    </xf>
    <xf numFmtId="0" fontId="4" fillId="3" borderId="0" xfId="0" applyFont="1" applyFill="1" applyAlignment="1" applyProtection="1">
      <alignment vertical="center"/>
    </xf>
    <xf numFmtId="0" fontId="13" fillId="2" borderId="17" xfId="0" applyFont="1" applyFill="1" applyBorder="1" applyAlignment="1" applyProtection="1">
      <alignment horizontal="left" vertical="center"/>
    </xf>
    <xf numFmtId="0" fontId="13" fillId="2" borderId="18" xfId="0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 applyProtection="1">
      <alignment horizontal="left"/>
    </xf>
    <xf numFmtId="0" fontId="13" fillId="2" borderId="18" xfId="0" applyFont="1" applyFill="1" applyBorder="1" applyAlignment="1" applyProtection="1">
      <alignment horizontal="center"/>
    </xf>
    <xf numFmtId="0" fontId="5" fillId="3" borderId="0" xfId="0" applyFont="1" applyFill="1" applyAlignment="1" applyProtection="1">
      <alignment vertical="center"/>
    </xf>
    <xf numFmtId="1" fontId="11" fillId="2" borderId="19" xfId="0" applyNumberFormat="1" applyFont="1" applyFill="1" applyBorder="1" applyAlignment="1" applyProtection="1">
      <alignment horizontal="center" vertical="center"/>
    </xf>
    <xf numFmtId="4" fontId="11" fillId="0" borderId="20" xfId="0" applyNumberFormat="1" applyFont="1" applyFill="1" applyBorder="1" applyAlignment="1" applyProtection="1">
      <alignment vertical="center"/>
    </xf>
    <xf numFmtId="4" fontId="11" fillId="0" borderId="21" xfId="0" applyNumberFormat="1" applyFont="1" applyFill="1" applyBorder="1" applyAlignment="1" applyProtection="1">
      <alignment vertical="center"/>
    </xf>
    <xf numFmtId="0" fontId="13" fillId="2" borderId="22" xfId="0" applyFont="1" applyFill="1" applyBorder="1" applyAlignment="1" applyProtection="1">
      <alignment horizontal="left"/>
    </xf>
    <xf numFmtId="0" fontId="13" fillId="2" borderId="23" xfId="0" applyFont="1" applyFill="1" applyBorder="1" applyAlignment="1" applyProtection="1">
      <alignment horizontal="center"/>
    </xf>
    <xf numFmtId="0" fontId="1" fillId="2" borderId="24" xfId="0" applyFont="1" applyFill="1" applyBorder="1" applyAlignment="1" applyProtection="1">
      <alignment vertical="center"/>
    </xf>
    <xf numFmtId="0" fontId="1" fillId="4" borderId="25" xfId="0" applyFont="1" applyFill="1" applyBorder="1" applyAlignment="1" applyProtection="1">
      <alignment horizontal="left" vertical="center" indent="1"/>
    </xf>
    <xf numFmtId="0" fontId="1" fillId="4" borderId="26" xfId="0" applyFont="1" applyFill="1" applyBorder="1" applyAlignment="1" applyProtection="1">
      <alignment horizontal="left" vertical="center" indent="1"/>
    </xf>
    <xf numFmtId="0" fontId="14" fillId="2" borderId="24" xfId="0" applyFont="1" applyFill="1" applyBorder="1" applyAlignment="1" applyProtection="1">
      <alignment horizontal="left" indent="1"/>
    </xf>
    <xf numFmtId="0" fontId="1" fillId="2" borderId="0" xfId="0" applyFont="1" applyFill="1" applyBorder="1" applyAlignment="1" applyProtection="1">
      <alignment horizontal="left" vertical="center" indent="1"/>
    </xf>
    <xf numFmtId="0" fontId="14" fillId="2" borderId="0" xfId="0" applyFont="1" applyFill="1" applyBorder="1" applyAlignment="1" applyProtection="1">
      <alignment vertical="center"/>
    </xf>
    <xf numFmtId="0" fontId="14" fillId="2" borderId="24" xfId="0" applyFont="1" applyFill="1" applyBorder="1" applyAlignment="1" applyProtection="1">
      <alignment horizontal="center"/>
    </xf>
    <xf numFmtId="0" fontId="14" fillId="2" borderId="24" xfId="0" applyFont="1" applyFill="1" applyBorder="1" applyAlignment="1" applyProtection="1">
      <alignment vertical="center"/>
    </xf>
    <xf numFmtId="0" fontId="14" fillId="2" borderId="0" xfId="0" applyFont="1" applyFill="1" applyAlignment="1" applyProtection="1">
      <alignment wrapText="1"/>
    </xf>
    <xf numFmtId="0" fontId="14" fillId="2" borderId="0" xfId="0" applyFont="1" applyFill="1" applyBorder="1" applyAlignment="1" applyProtection="1">
      <alignment vertical="top" wrapText="1"/>
    </xf>
    <xf numFmtId="0" fontId="1" fillId="2" borderId="27" xfId="0" applyFont="1" applyFill="1" applyBorder="1" applyAlignment="1" applyProtection="1">
      <alignment vertical="center"/>
    </xf>
    <xf numFmtId="0" fontId="1" fillId="2" borderId="5" xfId="0" applyFont="1" applyFill="1" applyBorder="1" applyAlignment="1" applyProtection="1">
      <alignment vertical="center"/>
    </xf>
    <xf numFmtId="0" fontId="1" fillId="2" borderId="28" xfId="0" applyFont="1" applyFill="1" applyBorder="1" applyAlignment="1" applyProtection="1">
      <alignment vertical="center"/>
    </xf>
    <xf numFmtId="0" fontId="2" fillId="2" borderId="24" xfId="0" applyFont="1" applyFill="1" applyBorder="1" applyAlignment="1" applyProtection="1">
      <alignment vertical="center"/>
    </xf>
    <xf numFmtId="0" fontId="2" fillId="2" borderId="0" xfId="0" applyFont="1" applyFill="1" applyBorder="1" applyAlignment="1" applyProtection="1">
      <alignment vertical="center"/>
    </xf>
    <xf numFmtId="0" fontId="1" fillId="2" borderId="29" xfId="0" applyFont="1" applyFill="1" applyBorder="1" applyAlignment="1" applyProtection="1">
      <alignment vertical="center"/>
    </xf>
    <xf numFmtId="0" fontId="1" fillId="2" borderId="24" xfId="0" applyFont="1" applyFill="1" applyBorder="1" applyAlignment="1" applyProtection="1"/>
    <xf numFmtId="0" fontId="1" fillId="2" borderId="0" xfId="0" applyFont="1" applyFill="1" applyBorder="1" applyAlignment="1" applyProtection="1"/>
    <xf numFmtId="0" fontId="1" fillId="2" borderId="29" xfId="0" applyFont="1" applyFill="1" applyBorder="1" applyAlignment="1" applyProtection="1"/>
    <xf numFmtId="0" fontId="1" fillId="2" borderId="30" xfId="0" applyFont="1" applyFill="1" applyBorder="1" applyAlignment="1" applyProtection="1"/>
    <xf numFmtId="0" fontId="1" fillId="2" borderId="31" xfId="0" applyFont="1" applyFill="1" applyBorder="1" applyAlignment="1" applyProtection="1">
      <alignment vertical="top"/>
    </xf>
    <xf numFmtId="0" fontId="1" fillId="2" borderId="10" xfId="0" applyFont="1" applyFill="1" applyBorder="1" applyAlignment="1" applyProtection="1">
      <alignment vertical="top"/>
    </xf>
    <xf numFmtId="0" fontId="1" fillId="2" borderId="32" xfId="0" applyFont="1" applyFill="1" applyBorder="1" applyAlignment="1" applyProtection="1">
      <alignment vertical="top"/>
    </xf>
    <xf numFmtId="177" fontId="1" fillId="3" borderId="0" xfId="0" applyNumberFormat="1" applyFont="1" applyFill="1" applyAlignment="1" applyProtection="1">
      <alignment vertical="center"/>
    </xf>
    <xf numFmtId="0" fontId="1" fillId="3" borderId="0" xfId="0" applyFont="1" applyFill="1" applyAlignment="1" applyProtection="1">
      <alignment horizontal="center" vertical="center"/>
    </xf>
    <xf numFmtId="177" fontId="1" fillId="2" borderId="0" xfId="0" applyNumberFormat="1" applyFont="1" applyFill="1" applyBorder="1" applyAlignment="1" applyProtection="1">
      <alignment vertical="center"/>
    </xf>
    <xf numFmtId="177" fontId="10" fillId="2" borderId="0" xfId="0" applyNumberFormat="1" applyFont="1" applyFill="1" applyBorder="1" applyAlignment="1" applyProtection="1">
      <alignment vertical="center"/>
    </xf>
    <xf numFmtId="0" fontId="2" fillId="2" borderId="0" xfId="0" applyFont="1" applyFill="1" applyBorder="1" applyAlignment="1" applyProtection="1">
      <alignment horizontal="left" vertical="center"/>
    </xf>
    <xf numFmtId="0" fontId="15" fillId="2" borderId="0" xfId="0" applyFont="1" applyFill="1" applyAlignment="1" applyProtection="1">
      <alignment vertical="center"/>
    </xf>
    <xf numFmtId="14" fontId="15" fillId="2" borderId="0" xfId="0" applyNumberFormat="1" applyFont="1" applyFill="1" applyAlignment="1" applyProtection="1">
      <alignment vertical="center"/>
    </xf>
    <xf numFmtId="0" fontId="10" fillId="2" borderId="0" xfId="0" applyFont="1" applyFill="1" applyBorder="1" applyAlignment="1" applyProtection="1">
      <alignment horizontal="center" vertical="center"/>
    </xf>
    <xf numFmtId="0" fontId="10" fillId="2" borderId="0" xfId="0" applyFont="1" applyFill="1" applyBorder="1" applyAlignment="1" applyProtection="1">
      <alignment horizontal="right" vertical="center"/>
    </xf>
    <xf numFmtId="0" fontId="16" fillId="2" borderId="0" xfId="0" applyFont="1" applyFill="1" applyBorder="1" applyAlignment="1" applyProtection="1">
      <alignment vertical="center"/>
    </xf>
    <xf numFmtId="0" fontId="10" fillId="2" borderId="0" xfId="0" applyFont="1" applyFill="1" applyAlignment="1" applyProtection="1">
      <alignment horizontal="center" vertical="center"/>
    </xf>
    <xf numFmtId="0" fontId="10" fillId="2" borderId="0" xfId="0" applyNumberFormat="1" applyFont="1" applyFill="1" applyBorder="1" applyAlignment="1" applyProtection="1">
      <alignment horizontal="left" vertical="center"/>
    </xf>
    <xf numFmtId="0" fontId="10" fillId="2" borderId="0" xfId="0" applyNumberFormat="1" applyFont="1" applyFill="1" applyBorder="1" applyAlignment="1" applyProtection="1">
      <alignment vertical="center"/>
    </xf>
    <xf numFmtId="0" fontId="10" fillId="0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" fillId="0" borderId="6" xfId="0" applyFont="1" applyFill="1" applyBorder="1" applyAlignment="1" applyProtection="1">
      <alignment horizontal="center" vertical="center"/>
    </xf>
    <xf numFmtId="0" fontId="1" fillId="0" borderId="5" xfId="0" applyFont="1" applyFill="1" applyBorder="1" applyAlignment="1" applyProtection="1">
      <alignment horizontal="center" vertical="center"/>
    </xf>
    <xf numFmtId="0" fontId="1" fillId="0" borderId="4" xfId="0" applyFont="1" applyFill="1" applyBorder="1" applyAlignment="1" applyProtection="1">
      <alignment horizontal="center" vertical="center"/>
    </xf>
    <xf numFmtId="0" fontId="1" fillId="2" borderId="6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wrapText="1"/>
    </xf>
    <xf numFmtId="0" fontId="2" fillId="0" borderId="11" xfId="0" applyFont="1" applyFill="1" applyBorder="1" applyAlignment="1" applyProtection="1">
      <alignment horizontal="center" vertical="center"/>
    </xf>
    <xf numFmtId="0" fontId="2" fillId="0" borderId="10" xfId="0" applyFont="1" applyFill="1" applyBorder="1" applyAlignment="1" applyProtection="1">
      <alignment horizontal="center" vertical="center"/>
    </xf>
    <xf numFmtId="0" fontId="2" fillId="0" borderId="9" xfId="0" applyFont="1" applyFill="1" applyBorder="1" applyAlignment="1" applyProtection="1">
      <alignment horizontal="center" vertical="center"/>
    </xf>
    <xf numFmtId="0" fontId="2" fillId="0" borderId="8" xfId="0" applyFont="1" applyFill="1" applyBorder="1" applyAlignment="1" applyProtection="1">
      <alignment horizontal="center" vertical="center"/>
    </xf>
    <xf numFmtId="3" fontId="12" fillId="0" borderId="33" xfId="0" applyNumberFormat="1" applyFont="1" applyFill="1" applyBorder="1" applyAlignment="1" applyProtection="1">
      <alignment horizontal="right" vertical="center" wrapText="1"/>
    </xf>
    <xf numFmtId="0" fontId="12" fillId="0" borderId="5" xfId="0" applyFont="1" applyFill="1" applyBorder="1" applyAlignment="1" applyProtection="1">
      <alignment vertical="center" wrapText="1"/>
    </xf>
    <xf numFmtId="179" fontId="13" fillId="2" borderId="34" xfId="0" applyNumberFormat="1" applyFont="1" applyFill="1" applyBorder="1" applyAlignment="1" applyProtection="1">
      <alignment horizontal="right" vertical="center"/>
    </xf>
    <xf numFmtId="0" fontId="11" fillId="2" borderId="17" xfId="0" applyFont="1" applyFill="1" applyBorder="1" applyAlignment="1" applyProtection="1">
      <alignment vertical="center"/>
    </xf>
    <xf numFmtId="4" fontId="13" fillId="0" borderId="35" xfId="1" applyNumberFormat="1" applyFont="1" applyFill="1" applyBorder="1" applyAlignment="1" applyProtection="1">
      <alignment horizontal="right" vertical="center"/>
    </xf>
    <xf numFmtId="0" fontId="11" fillId="0" borderId="34" xfId="0" applyFont="1" applyFill="1" applyBorder="1" applyAlignment="1" applyProtection="1">
      <alignment vertical="center"/>
    </xf>
    <xf numFmtId="49" fontId="11" fillId="0" borderId="36" xfId="0" applyNumberFormat="1" applyFont="1" applyFill="1" applyBorder="1" applyAlignment="1" applyProtection="1">
      <alignment horizontal="center" vertical="center"/>
    </xf>
    <xf numFmtId="179" fontId="13" fillId="0" borderId="17" xfId="1" applyNumberFormat="1" applyFont="1" applyFill="1" applyBorder="1" applyAlignment="1" applyProtection="1">
      <alignment vertical="center"/>
    </xf>
    <xf numFmtId="3" fontId="13" fillId="2" borderId="36" xfId="0" applyNumberFormat="1" applyFont="1" applyFill="1" applyBorder="1" applyAlignment="1" applyProtection="1">
      <alignment horizontal="right" vertical="center"/>
    </xf>
    <xf numFmtId="4" fontId="13" fillId="2" borderId="37" xfId="0" applyNumberFormat="1" applyFont="1" applyFill="1" applyBorder="1" applyAlignment="1" applyProtection="1">
      <alignment vertical="center"/>
    </xf>
    <xf numFmtId="0" fontId="13" fillId="2" borderId="17" xfId="0" applyFont="1" applyFill="1" applyBorder="1" applyAlignment="1" applyProtection="1">
      <alignment vertical="center"/>
    </xf>
    <xf numFmtId="0" fontId="13" fillId="0" borderId="34" xfId="0" applyFont="1" applyFill="1" applyBorder="1" applyAlignment="1" applyProtection="1">
      <alignment vertical="center"/>
    </xf>
    <xf numFmtId="0" fontId="18" fillId="2" borderId="17" xfId="0" applyFont="1" applyFill="1" applyBorder="1" applyAlignment="1" applyProtection="1">
      <alignment vertical="center"/>
    </xf>
    <xf numFmtId="180" fontId="18" fillId="0" borderId="38" xfId="1" applyNumberFormat="1" applyFont="1" applyFill="1" applyBorder="1" applyAlignment="1" applyProtection="1">
      <alignment vertical="center"/>
    </xf>
    <xf numFmtId="180" fontId="18" fillId="0" borderId="34" xfId="1" applyNumberFormat="1" applyFont="1" applyFill="1" applyBorder="1" applyAlignment="1" applyProtection="1">
      <alignment vertical="center"/>
    </xf>
    <xf numFmtId="3" fontId="13" fillId="2" borderId="36" xfId="0" applyNumberFormat="1" applyFont="1" applyFill="1" applyBorder="1" applyAlignment="1" applyProtection="1">
      <alignment horizontal="right"/>
    </xf>
    <xf numFmtId="0" fontId="19" fillId="2" borderId="17" xfId="0" applyFont="1" applyFill="1" applyBorder="1" applyAlignment="1" applyProtection="1"/>
    <xf numFmtId="179" fontId="13" fillId="2" borderId="34" xfId="0" applyNumberFormat="1" applyFont="1" applyFill="1" applyBorder="1" applyAlignment="1" applyProtection="1">
      <alignment horizontal="right"/>
    </xf>
    <xf numFmtId="180" fontId="18" fillId="2" borderId="38" xfId="1" applyNumberFormat="1" applyFont="1" applyFill="1" applyBorder="1" applyAlignment="1" applyProtection="1">
      <alignment vertical="center"/>
    </xf>
    <xf numFmtId="180" fontId="18" fillId="2" borderId="34" xfId="1" applyNumberFormat="1" applyFont="1" applyFill="1" applyBorder="1" applyAlignment="1" applyProtection="1">
      <alignment vertical="center"/>
    </xf>
    <xf numFmtId="3" fontId="13" fillId="2" borderId="39" xfId="0" applyNumberFormat="1" applyFont="1" applyFill="1" applyBorder="1" applyAlignment="1" applyProtection="1">
      <alignment horizontal="right"/>
    </xf>
    <xf numFmtId="0" fontId="19" fillId="2" borderId="22" xfId="0" applyFont="1" applyFill="1" applyBorder="1" applyAlignment="1" applyProtection="1"/>
    <xf numFmtId="179" fontId="13" fillId="2" borderId="40" xfId="0" applyNumberFormat="1" applyFont="1" applyFill="1" applyBorder="1" applyAlignment="1" applyProtection="1">
      <alignment horizontal="right"/>
    </xf>
    <xf numFmtId="180" fontId="18" fillId="2" borderId="41" xfId="1" applyNumberFormat="1" applyFont="1" applyFill="1" applyBorder="1" applyAlignment="1" applyProtection="1">
      <alignment vertical="center"/>
    </xf>
    <xf numFmtId="4" fontId="13" fillId="0" borderId="42" xfId="1" applyNumberFormat="1" applyFont="1" applyFill="1" applyBorder="1" applyAlignment="1" applyProtection="1">
      <alignment horizontal="right" vertical="center"/>
    </xf>
    <xf numFmtId="180" fontId="18" fillId="2" borderId="40" xfId="1" applyNumberFormat="1" applyFont="1" applyFill="1" applyBorder="1" applyAlignment="1" applyProtection="1">
      <alignment vertical="center"/>
    </xf>
    <xf numFmtId="49" fontId="11" fillId="0" borderId="43" xfId="0" applyNumberFormat="1" applyFont="1" applyFill="1" applyBorder="1" applyAlignment="1" applyProtection="1">
      <alignment horizontal="center" vertical="center"/>
    </xf>
    <xf numFmtId="179" fontId="13" fillId="0" borderId="22" xfId="1" applyNumberFormat="1" applyFont="1" applyFill="1" applyBorder="1" applyAlignment="1" applyProtection="1">
      <alignment vertical="center"/>
    </xf>
    <xf numFmtId="0" fontId="1" fillId="2" borderId="44" xfId="0" applyFont="1" applyFill="1" applyBorder="1" applyAlignment="1" applyProtection="1">
      <alignment vertical="center"/>
    </xf>
    <xf numFmtId="0" fontId="1" fillId="2" borderId="45" xfId="0" applyFont="1" applyFill="1" applyBorder="1" applyAlignment="1" applyProtection="1">
      <alignment horizontal="center" vertical="center"/>
    </xf>
    <xf numFmtId="0" fontId="1" fillId="4" borderId="46" xfId="0" applyFont="1" applyFill="1" applyBorder="1" applyAlignment="1" applyProtection="1">
      <alignment horizontal="left" vertical="center" indent="1"/>
    </xf>
    <xf numFmtId="0" fontId="11" fillId="2" borderId="47" xfId="0" applyFont="1" applyFill="1" applyBorder="1" applyAlignment="1" applyProtection="1">
      <alignment horizontal="center" vertical="center" wrapText="1"/>
    </xf>
    <xf numFmtId="0" fontId="11" fillId="2" borderId="48" xfId="0" applyFont="1" applyFill="1" applyBorder="1" applyAlignment="1" applyProtection="1">
      <alignment horizontal="center" vertical="center" wrapText="1"/>
    </xf>
    <xf numFmtId="177" fontId="1" fillId="2" borderId="0" xfId="0" applyNumberFormat="1" applyFont="1" applyFill="1" applyBorder="1" applyAlignment="1" applyProtection="1">
      <alignment horizontal="left" vertical="center" indent="1"/>
    </xf>
    <xf numFmtId="0" fontId="11" fillId="2" borderId="49" xfId="0" applyFont="1" applyFill="1" applyBorder="1" applyAlignment="1" applyProtection="1">
      <alignment horizontal="center" vertical="center" wrapText="1"/>
    </xf>
    <xf numFmtId="0" fontId="11" fillId="2" borderId="50" xfId="0" applyFont="1" applyFill="1" applyBorder="1" applyAlignment="1" applyProtection="1">
      <alignment horizontal="center" vertical="center" wrapText="1"/>
    </xf>
    <xf numFmtId="0" fontId="20" fillId="2" borderId="49" xfId="0" applyFont="1" applyFill="1" applyBorder="1" applyAlignment="1" applyProtection="1">
      <alignment horizontal="left" vertical="center" wrapText="1"/>
    </xf>
    <xf numFmtId="0" fontId="10" fillId="2" borderId="50" xfId="0" applyFont="1" applyFill="1" applyBorder="1" applyAlignment="1" applyProtection="1">
      <alignment horizontal="left" vertical="center" wrapText="1" indent="1"/>
    </xf>
    <xf numFmtId="0" fontId="10" fillId="2" borderId="47" xfId="0" applyFont="1" applyFill="1" applyBorder="1" applyAlignment="1" applyProtection="1">
      <alignment horizontal="left" vertical="center" wrapText="1"/>
    </xf>
    <xf numFmtId="0" fontId="10" fillId="2" borderId="48" xfId="0" applyFont="1" applyFill="1" applyBorder="1" applyAlignment="1" applyProtection="1">
      <alignment horizontal="left" vertical="center" wrapText="1" indent="1"/>
    </xf>
    <xf numFmtId="177" fontId="14" fillId="2" borderId="0" xfId="0" applyNumberFormat="1" applyFont="1" applyFill="1" applyBorder="1" applyAlignment="1" applyProtection="1">
      <alignment vertical="center"/>
    </xf>
    <xf numFmtId="0" fontId="1" fillId="2" borderId="49" xfId="0" applyFont="1" applyFill="1" applyBorder="1" applyAlignment="1" applyProtection="1">
      <alignment horizontal="center" vertical="center" wrapText="1"/>
    </xf>
    <xf numFmtId="177" fontId="14" fillId="2" borderId="0" xfId="0" applyNumberFormat="1" applyFont="1" applyFill="1" applyAlignment="1" applyProtection="1">
      <alignment wrapText="1"/>
    </xf>
    <xf numFmtId="177" fontId="14" fillId="2" borderId="0" xfId="0" applyNumberFormat="1" applyFont="1" applyFill="1" applyBorder="1" applyAlignment="1" applyProtection="1">
      <alignment vertical="top" wrapText="1"/>
    </xf>
    <xf numFmtId="0" fontId="10" fillId="2" borderId="47" xfId="0" applyFont="1" applyFill="1" applyBorder="1" applyAlignment="1" applyProtection="1">
      <alignment horizontal="center" vertical="center" wrapText="1"/>
    </xf>
    <xf numFmtId="0" fontId="11" fillId="2" borderId="8" xfId="0" applyFont="1" applyFill="1" applyBorder="1" applyAlignment="1" applyProtection="1">
      <alignment horizontal="center" vertical="center" wrapText="1"/>
    </xf>
    <xf numFmtId="0" fontId="11" fillId="2" borderId="1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left" vertical="center" wrapText="1" indent="1"/>
    </xf>
    <xf numFmtId="0" fontId="21" fillId="2" borderId="27" xfId="0" applyFont="1" applyFill="1" applyBorder="1" applyAlignment="1" applyProtection="1">
      <alignment vertical="center"/>
    </xf>
    <xf numFmtId="0" fontId="21" fillId="2" borderId="5" xfId="0" applyFont="1" applyFill="1" applyBorder="1" applyAlignment="1" applyProtection="1">
      <alignment vertical="center"/>
    </xf>
    <xf numFmtId="0" fontId="21" fillId="2" borderId="5" xfId="0" applyFont="1" applyFill="1" applyBorder="1" applyAlignment="1" applyProtection="1">
      <alignment horizontal="center" vertical="center"/>
    </xf>
    <xf numFmtId="0" fontId="21" fillId="2" borderId="24" xfId="0" applyFont="1" applyFill="1" applyBorder="1" applyAlignment="1" applyProtection="1">
      <alignment horizontal="left" vertical="center" wrapText="1"/>
    </xf>
    <xf numFmtId="0" fontId="21" fillId="2" borderId="0" xfId="0" applyFont="1" applyFill="1" applyBorder="1" applyAlignment="1" applyProtection="1">
      <alignment horizontal="left" vertical="center" wrapText="1"/>
    </xf>
    <xf numFmtId="0" fontId="21" fillId="2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 applyProtection="1"/>
    <xf numFmtId="0" fontId="2" fillId="2" borderId="29" xfId="0" applyFont="1" applyFill="1" applyBorder="1" applyAlignment="1" applyProtection="1"/>
    <xf numFmtId="177" fontId="1" fillId="2" borderId="24" xfId="0" applyNumberFormat="1" applyFont="1" applyFill="1" applyBorder="1" applyAlignment="1" applyProtection="1"/>
    <xf numFmtId="0" fontId="1" fillId="2" borderId="0" xfId="0" applyFont="1" applyFill="1" applyBorder="1" applyAlignment="1" applyProtection="1">
      <alignment horizontal="center"/>
    </xf>
    <xf numFmtId="0" fontId="2" fillId="2" borderId="31" xfId="0" applyFont="1" applyFill="1" applyBorder="1" applyAlignment="1" applyProtection="1">
      <alignment vertical="center"/>
    </xf>
    <xf numFmtId="0" fontId="2" fillId="2" borderId="10" xfId="0" applyFont="1" applyFill="1" applyBorder="1" applyAlignment="1" applyProtection="1">
      <alignment vertical="center"/>
    </xf>
    <xf numFmtId="0" fontId="2" fillId="2" borderId="10" xfId="0" applyFont="1" applyFill="1" applyBorder="1" applyAlignment="1" applyProtection="1">
      <alignment horizontal="center" vertical="center"/>
    </xf>
    <xf numFmtId="0" fontId="22" fillId="2" borderId="0" xfId="0" applyFont="1" applyFill="1" applyAlignment="1" applyProtection="1">
      <alignment horizontal="center" vertical="center" wrapText="1"/>
    </xf>
    <xf numFmtId="0" fontId="6" fillId="2" borderId="0" xfId="0" applyFont="1" applyFill="1" applyAlignment="1" applyProtection="1">
      <alignment vertical="center"/>
    </xf>
    <xf numFmtId="0" fontId="23" fillId="2" borderId="0" xfId="0" applyFont="1" applyFill="1" applyAlignment="1" applyProtection="1">
      <alignment horizontal="center" vertical="center" wrapText="1"/>
    </xf>
    <xf numFmtId="0" fontId="24" fillId="2" borderId="0" xfId="0" applyFont="1" applyFill="1" applyAlignment="1" applyProtection="1">
      <alignment horizontal="center" vertical="center"/>
    </xf>
    <xf numFmtId="0" fontId="15" fillId="2" borderId="0" xfId="0" applyFont="1" applyFill="1" applyAlignment="1" applyProtection="1">
      <alignment horizontal="right" vertical="center"/>
    </xf>
    <xf numFmtId="14" fontId="15" fillId="2" borderId="0" xfId="0" applyNumberFormat="1" applyFont="1" applyFill="1" applyAlignment="1" applyProtection="1">
      <alignment horizontal="right" vertical="center"/>
    </xf>
    <xf numFmtId="0" fontId="1" fillId="2" borderId="1" xfId="0" applyFont="1" applyFill="1" applyBorder="1" applyAlignment="1" applyProtection="1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left" vertical="center"/>
    </xf>
    <xf numFmtId="0" fontId="2" fillId="2" borderId="0" xfId="0" applyFont="1" applyFill="1" applyBorder="1" applyAlignment="1" applyProtection="1">
      <alignment horizontal="right" vertical="center"/>
    </xf>
    <xf numFmtId="0" fontId="1" fillId="2" borderId="0" xfId="0" applyFont="1" applyFill="1" applyAlignment="1" applyProtection="1">
      <alignment horizontal="right" vertical="center"/>
    </xf>
    <xf numFmtId="0" fontId="1" fillId="2" borderId="51" xfId="0" applyFont="1" applyFill="1" applyBorder="1" applyAlignment="1" applyProtection="1">
      <alignment vertical="center"/>
    </xf>
    <xf numFmtId="0" fontId="1" fillId="2" borderId="4" xfId="0" applyFont="1" applyFill="1" applyBorder="1" applyAlignment="1" applyProtection="1">
      <alignment horizontal="center" vertical="center" wrapText="1"/>
    </xf>
    <xf numFmtId="0" fontId="1" fillId="2" borderId="52" xfId="0" applyFont="1" applyFill="1" applyBorder="1" applyAlignment="1" applyProtection="1">
      <alignment horizontal="center" vertical="center"/>
    </xf>
    <xf numFmtId="0" fontId="2" fillId="0" borderId="53" xfId="0" applyFont="1" applyFill="1" applyBorder="1" applyAlignment="1" applyProtection="1">
      <alignment horizontal="center" vertical="center"/>
    </xf>
    <xf numFmtId="181" fontId="11" fillId="0" borderId="34" xfId="1" applyNumberFormat="1" applyFont="1" applyFill="1" applyBorder="1" applyAlignment="1" applyProtection="1">
      <alignment vertical="center"/>
    </xf>
    <xf numFmtId="4" fontId="11" fillId="0" borderId="54" xfId="1" applyNumberFormat="1" applyFont="1" applyFill="1" applyBorder="1" applyAlignment="1" applyProtection="1">
      <alignment horizontal="right" vertical="center"/>
    </xf>
    <xf numFmtId="181" fontId="13" fillId="0" borderId="34" xfId="1" applyNumberFormat="1" applyFont="1" applyFill="1" applyBorder="1" applyAlignment="1" applyProtection="1">
      <alignment vertical="center"/>
    </xf>
    <xf numFmtId="181" fontId="18" fillId="0" borderId="34" xfId="1" applyNumberFormat="1" applyFont="1" applyFill="1" applyBorder="1" applyAlignment="1" applyProtection="1">
      <alignment vertical="center"/>
    </xf>
    <xf numFmtId="0" fontId="25" fillId="3" borderId="0" xfId="0" applyFont="1" applyFill="1" applyAlignment="1" applyProtection="1">
      <alignment vertical="center"/>
    </xf>
    <xf numFmtId="181" fontId="18" fillId="2" borderId="34" xfId="1" applyNumberFormat="1" applyFont="1" applyFill="1" applyBorder="1" applyAlignment="1" applyProtection="1">
      <alignment vertical="center"/>
    </xf>
    <xf numFmtId="181" fontId="18" fillId="2" borderId="40" xfId="1" applyNumberFormat="1" applyFont="1" applyFill="1" applyBorder="1" applyAlignment="1" applyProtection="1">
      <alignment vertical="center"/>
    </xf>
    <xf numFmtId="4" fontId="11" fillId="0" borderId="55" xfId="1" applyNumberFormat="1" applyFont="1" applyFill="1" applyBorder="1" applyAlignment="1" applyProtection="1">
      <alignment horizontal="right" vertical="center"/>
    </xf>
    <xf numFmtId="43" fontId="11" fillId="2" borderId="56" xfId="0" applyNumberFormat="1" applyFont="1" applyFill="1" applyBorder="1" applyAlignment="1" applyProtection="1">
      <alignment vertical="center"/>
    </xf>
    <xf numFmtId="0" fontId="11" fillId="2" borderId="57" xfId="0" applyFont="1" applyFill="1" applyBorder="1" applyAlignment="1" applyProtection="1">
      <alignment horizontal="center" vertical="center" wrapText="1"/>
    </xf>
    <xf numFmtId="43" fontId="11" fillId="2" borderId="58" xfId="1" applyNumberFormat="1" applyFont="1" applyFill="1" applyBorder="1" applyAlignment="1" applyProtection="1">
      <alignment vertical="center"/>
    </xf>
    <xf numFmtId="9" fontId="11" fillId="2" borderId="59" xfId="3" applyFont="1" applyFill="1" applyBorder="1" applyAlignment="1" applyProtection="1">
      <alignment horizontal="center" vertical="center" wrapText="1"/>
    </xf>
    <xf numFmtId="43" fontId="11" fillId="2" borderId="60" xfId="1" applyNumberFormat="1" applyFont="1" applyFill="1" applyBorder="1" applyAlignment="1" applyProtection="1">
      <alignment horizontal="center" vertical="center"/>
    </xf>
    <xf numFmtId="9" fontId="11" fillId="2" borderId="57" xfId="3" applyFont="1" applyFill="1" applyBorder="1" applyAlignment="1" applyProtection="1">
      <alignment horizontal="center" vertical="center" wrapText="1"/>
    </xf>
    <xf numFmtId="43" fontId="11" fillId="2" borderId="58" xfId="1" applyNumberFormat="1" applyFont="1" applyFill="1" applyBorder="1" applyAlignment="1" applyProtection="1">
      <alignment horizontal="center" vertical="center"/>
    </xf>
    <xf numFmtId="0" fontId="10" fillId="2" borderId="59" xfId="0" applyFont="1" applyFill="1" applyBorder="1" applyAlignment="1" applyProtection="1">
      <alignment horizontal="left" vertical="center" wrapText="1" indent="1"/>
    </xf>
    <xf numFmtId="0" fontId="10" fillId="2" borderId="57" xfId="0" applyFont="1" applyFill="1" applyBorder="1" applyAlignment="1" applyProtection="1">
      <alignment horizontal="left" vertical="center" wrapText="1" indent="1"/>
    </xf>
    <xf numFmtId="9" fontId="11" fillId="2" borderId="59" xfId="3" applyNumberFormat="1" applyFont="1" applyFill="1" applyBorder="1" applyAlignment="1" applyProtection="1">
      <alignment horizontal="center" vertical="center" wrapText="1"/>
    </xf>
    <xf numFmtId="9" fontId="11" fillId="2" borderId="50" xfId="3" applyNumberFormat="1" applyFont="1" applyFill="1" applyBorder="1" applyAlignment="1" applyProtection="1">
      <alignment horizontal="center" vertical="center"/>
    </xf>
    <xf numFmtId="0" fontId="11" fillId="2" borderId="10" xfId="0" applyFont="1" applyFill="1" applyBorder="1" applyAlignment="1" applyProtection="1">
      <alignment horizontal="center" vertical="center"/>
    </xf>
    <xf numFmtId="43" fontId="11" fillId="2" borderId="53" xfId="1" applyNumberFormat="1" applyFont="1" applyFill="1" applyBorder="1" applyAlignment="1" applyProtection="1">
      <alignment horizontal="center" vertical="center"/>
    </xf>
    <xf numFmtId="176" fontId="1" fillId="2" borderId="29" xfId="1" applyFont="1" applyFill="1" applyBorder="1" applyAlignment="1" applyProtection="1">
      <alignment horizontal="right" vertical="center"/>
    </xf>
    <xf numFmtId="0" fontId="21" fillId="2" borderId="29" xfId="0" applyFont="1" applyFill="1" applyBorder="1" applyAlignment="1" applyProtection="1">
      <alignment horizontal="left" vertical="center" wrapText="1"/>
    </xf>
    <xf numFmtId="0" fontId="9" fillId="2" borderId="0" xfId="0" applyFont="1" applyFill="1" applyBorder="1" applyAlignment="1" applyProtection="1">
      <alignment horizontal="left"/>
    </xf>
    <xf numFmtId="0" fontId="9" fillId="2" borderId="0" xfId="0" applyFont="1" applyFill="1" applyBorder="1" applyAlignment="1" applyProtection="1">
      <alignment vertical="center"/>
    </xf>
    <xf numFmtId="0" fontId="1" fillId="0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left"/>
    </xf>
    <xf numFmtId="178" fontId="1" fillId="2" borderId="0" xfId="0" applyNumberFormat="1" applyFont="1" applyFill="1" applyAlignment="1" applyProtection="1">
      <alignment vertical="center"/>
    </xf>
    <xf numFmtId="178" fontId="1" fillId="2" borderId="51" xfId="0" applyNumberFormat="1" applyFont="1" applyFill="1" applyBorder="1" applyAlignment="1" applyProtection="1">
      <alignment vertical="center"/>
    </xf>
    <xf numFmtId="0" fontId="1" fillId="2" borderId="51" xfId="0" applyFont="1" applyFill="1" applyBorder="1" applyAlignment="1" applyProtection="1">
      <alignment horizontal="center" vertical="center"/>
    </xf>
    <xf numFmtId="0" fontId="12" fillId="0" borderId="5" xfId="0" applyFont="1" applyFill="1" applyBorder="1" applyAlignment="1" applyProtection="1">
      <alignment horizontal="left" vertical="center" wrapText="1"/>
    </xf>
    <xf numFmtId="0" fontId="11" fillId="2" borderId="17" xfId="0" applyFont="1" applyFill="1" applyBorder="1" applyAlignment="1" applyProtection="1">
      <alignment horizontal="right" vertical="center"/>
    </xf>
    <xf numFmtId="0" fontId="11" fillId="0" borderId="34" xfId="0" applyFont="1" applyFill="1" applyBorder="1" applyAlignment="1" applyProtection="1">
      <alignment horizontal="left" vertical="center"/>
    </xf>
    <xf numFmtId="4" fontId="13" fillId="2" borderId="37" xfId="0" applyNumberFormat="1" applyFont="1" applyFill="1" applyBorder="1" applyAlignment="1" applyProtection="1">
      <alignment horizontal="left" vertical="center"/>
    </xf>
    <xf numFmtId="0" fontId="13" fillId="2" borderId="17" xfId="0" applyFont="1" applyFill="1" applyBorder="1" applyAlignment="1" applyProtection="1">
      <alignment horizontal="right" vertical="center"/>
    </xf>
    <xf numFmtId="0" fontId="13" fillId="0" borderId="34" xfId="0" applyFont="1" applyFill="1" applyBorder="1" applyAlignment="1" applyProtection="1">
      <alignment horizontal="left" vertical="center"/>
    </xf>
    <xf numFmtId="4" fontId="13" fillId="0" borderId="37" xfId="1" applyNumberFormat="1" applyFont="1" applyFill="1" applyBorder="1" applyAlignment="1" applyProtection="1">
      <alignment horizontal="right" vertical="center"/>
    </xf>
    <xf numFmtId="180" fontId="13" fillId="0" borderId="38" xfId="1" applyNumberFormat="1" applyFont="1" applyFill="1" applyBorder="1" applyAlignment="1" applyProtection="1">
      <alignment horizontal="right" vertical="center"/>
    </xf>
    <xf numFmtId="180" fontId="13" fillId="0" borderId="34" xfId="1" applyNumberFormat="1" applyFont="1" applyFill="1" applyBorder="1" applyAlignment="1" applyProtection="1">
      <alignment horizontal="left" vertical="center"/>
    </xf>
    <xf numFmtId="4" fontId="13" fillId="0" borderId="17" xfId="1" applyNumberFormat="1" applyFont="1" applyFill="1" applyBorder="1" applyAlignment="1" applyProtection="1">
      <alignment horizontal="right" vertical="center"/>
    </xf>
    <xf numFmtId="180" fontId="13" fillId="2" borderId="38" xfId="1" applyNumberFormat="1" applyFont="1" applyFill="1" applyBorder="1" applyAlignment="1" applyProtection="1">
      <alignment horizontal="right" vertical="center"/>
    </xf>
    <xf numFmtId="4" fontId="13" fillId="2" borderId="17" xfId="1" applyNumberFormat="1" applyFont="1" applyFill="1" applyBorder="1" applyAlignment="1" applyProtection="1">
      <alignment horizontal="right" vertical="center"/>
    </xf>
    <xf numFmtId="180" fontId="13" fillId="2" borderId="34" xfId="1" applyNumberFormat="1" applyFont="1" applyFill="1" applyBorder="1" applyAlignment="1" applyProtection="1">
      <alignment horizontal="left" vertical="center"/>
    </xf>
    <xf numFmtId="180" fontId="13" fillId="2" borderId="41" xfId="1" applyNumberFormat="1" applyFont="1" applyFill="1" applyBorder="1" applyAlignment="1" applyProtection="1">
      <alignment horizontal="right" vertical="center"/>
    </xf>
    <xf numFmtId="4" fontId="13" fillId="2" borderId="22" xfId="1" applyNumberFormat="1" applyFont="1" applyFill="1" applyBorder="1" applyAlignment="1" applyProtection="1">
      <alignment horizontal="right" vertical="center"/>
    </xf>
    <xf numFmtId="180" fontId="13" fillId="2" borderId="40" xfId="1" applyNumberFormat="1" applyFont="1" applyFill="1" applyBorder="1" applyAlignment="1" applyProtection="1">
      <alignment horizontal="left" vertical="center"/>
    </xf>
    <xf numFmtId="0" fontId="24" fillId="2" borderId="0" xfId="0" applyFont="1" applyFill="1" applyAlignment="1" applyProtection="1">
      <alignment vertical="center"/>
    </xf>
    <xf numFmtId="0" fontId="15" fillId="2" borderId="1" xfId="0" applyFont="1" applyFill="1" applyBorder="1" applyAlignment="1" applyProtection="1">
      <alignment horizontal="right" vertical="center"/>
    </xf>
    <xf numFmtId="14" fontId="15" fillId="2" borderId="1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right" vertical="center"/>
    </xf>
    <xf numFmtId="181" fontId="11" fillId="0" borderId="34" xfId="1" applyNumberFormat="1" applyFont="1" applyFill="1" applyBorder="1" applyAlignment="1" applyProtection="1">
      <alignment horizontal="left" vertical="center"/>
    </xf>
    <xf numFmtId="1" fontId="13" fillId="2" borderId="12" xfId="0" applyNumberFormat="1" applyFont="1" applyFill="1" applyBorder="1" applyAlignment="1" applyProtection="1">
      <alignment horizontal="center" vertical="center"/>
    </xf>
    <xf numFmtId="4" fontId="13" fillId="0" borderId="13" xfId="0" applyNumberFormat="1" applyFont="1" applyFill="1" applyBorder="1" applyAlignment="1" applyProtection="1">
      <alignment vertical="center"/>
    </xf>
    <xf numFmtId="4" fontId="13" fillId="0" borderId="14" xfId="0" applyNumberFormat="1" applyFont="1" applyFill="1" applyBorder="1" applyAlignment="1" applyProtection="1">
      <alignment vertical="center"/>
    </xf>
    <xf numFmtId="179" fontId="13" fillId="0" borderId="38" xfId="1" applyNumberFormat="1" applyFont="1" applyFill="1" applyBorder="1" applyAlignment="1" applyProtection="1">
      <alignment vertical="center"/>
    </xf>
    <xf numFmtId="181" fontId="13" fillId="0" borderId="34" xfId="1" applyNumberFormat="1" applyFont="1" applyFill="1" applyBorder="1" applyAlignment="1" applyProtection="1">
      <alignment horizontal="left" vertical="center"/>
    </xf>
    <xf numFmtId="49" fontId="13" fillId="0" borderId="38" xfId="0" applyNumberFormat="1" applyFont="1" applyFill="1" applyBorder="1" applyAlignment="1" applyProtection="1">
      <alignment horizontal="center" vertical="center"/>
    </xf>
    <xf numFmtId="49" fontId="13" fillId="2" borderId="38" xfId="0" applyNumberFormat="1" applyFont="1" applyFill="1" applyBorder="1" applyAlignment="1" applyProtection="1">
      <alignment horizontal="center" vertical="center"/>
    </xf>
    <xf numFmtId="179" fontId="13" fillId="2" borderId="38" xfId="1" applyNumberFormat="1" applyFont="1" applyFill="1" applyBorder="1" applyAlignment="1" applyProtection="1">
      <alignment vertical="center"/>
    </xf>
    <xf numFmtId="181" fontId="13" fillId="2" borderId="34" xfId="1" applyNumberFormat="1" applyFont="1" applyFill="1" applyBorder="1" applyAlignment="1" applyProtection="1">
      <alignment horizontal="left" vertical="center"/>
    </xf>
    <xf numFmtId="49" fontId="13" fillId="2" borderId="41" xfId="0" applyNumberFormat="1" applyFont="1" applyFill="1" applyBorder="1" applyAlignment="1" applyProtection="1">
      <alignment horizontal="center" vertical="center"/>
    </xf>
    <xf numFmtId="179" fontId="13" fillId="2" borderId="41" xfId="1" applyNumberFormat="1" applyFont="1" applyFill="1" applyBorder="1" applyAlignment="1" applyProtection="1">
      <alignment vertical="center"/>
    </xf>
    <xf numFmtId="181" fontId="13" fillId="2" borderId="40" xfId="1" applyNumberFormat="1" applyFont="1" applyFill="1" applyBorder="1" applyAlignment="1" applyProtection="1">
      <alignment horizontal="left" vertical="center"/>
    </xf>
    <xf numFmtId="182" fontId="1" fillId="2" borderId="56" xfId="0" applyNumberFormat="1" applyFont="1" applyFill="1" applyBorder="1" applyAlignment="1" applyProtection="1">
      <alignment vertical="center"/>
    </xf>
    <xf numFmtId="0" fontId="11" fillId="2" borderId="48" xfId="0" applyFont="1" applyFill="1" applyBorder="1" applyAlignment="1" applyProtection="1">
      <alignment horizontal="left" vertical="center" wrapText="1" indent="1"/>
    </xf>
    <xf numFmtId="0" fontId="11" fillId="2" borderId="57" xfId="0" applyFont="1" applyFill="1" applyBorder="1" applyAlignment="1" applyProtection="1">
      <alignment horizontal="left" vertical="center" wrapText="1"/>
    </xf>
    <xf numFmtId="0" fontId="11" fillId="2" borderId="50" xfId="0" applyFont="1" applyFill="1" applyBorder="1" applyAlignment="1" applyProtection="1">
      <alignment horizontal="left" vertical="center" wrapText="1" indent="1"/>
    </xf>
    <xf numFmtId="0" fontId="11" fillId="2" borderId="50" xfId="0" applyFont="1" applyFill="1" applyBorder="1" applyAlignment="1" applyProtection="1">
      <alignment horizontal="left" vertical="center" wrapText="1"/>
    </xf>
    <xf numFmtId="0" fontId="11" fillId="2" borderId="48" xfId="0" applyFont="1" applyFill="1" applyBorder="1" applyAlignment="1" applyProtection="1">
      <alignment horizontal="left" vertical="center" wrapText="1"/>
    </xf>
    <xf numFmtId="9" fontId="11" fillId="2" borderId="50" xfId="3" applyNumberFormat="1" applyFont="1" applyFill="1" applyBorder="1" applyAlignment="1" applyProtection="1">
      <alignment horizontal="left" vertical="center"/>
    </xf>
    <xf numFmtId="0" fontId="11" fillId="2" borderId="10" xfId="0" applyFont="1" applyFill="1" applyBorder="1" applyAlignment="1" applyProtection="1">
      <alignment horizontal="left" vertical="center" wrapText="1" indent="1"/>
    </xf>
    <xf numFmtId="0" fontId="11" fillId="2" borderId="10" xfId="0" applyFont="1" applyFill="1" applyBorder="1" applyAlignment="1" applyProtection="1">
      <alignment horizontal="left" vertical="center"/>
    </xf>
    <xf numFmtId="0" fontId="13" fillId="2" borderId="17" xfId="0" applyNumberFormat="1" applyFont="1" applyFill="1" applyBorder="1" applyAlignment="1" applyProtection="1">
      <alignment vertical="center"/>
    </xf>
    <xf numFmtId="0" fontId="13" fillId="0" borderId="16" xfId="0" applyFont="1" applyFill="1" applyBorder="1" applyAlignment="1" applyProtection="1">
      <alignment horizontal="center" vertical="center" wrapText="1"/>
    </xf>
    <xf numFmtId="180" fontId="13" fillId="0" borderId="38" xfId="1" applyNumberFormat="1" applyFont="1" applyFill="1" applyBorder="1" applyAlignment="1" applyProtection="1">
      <alignment vertical="center"/>
    </xf>
    <xf numFmtId="0" fontId="13" fillId="2" borderId="17" xfId="0" applyFont="1" applyFill="1" applyBorder="1" applyAlignment="1" applyProtection="1"/>
    <xf numFmtId="180" fontId="13" fillId="2" borderId="38" xfId="1" applyNumberFormat="1" applyFont="1" applyFill="1" applyBorder="1" applyAlignment="1" applyProtection="1">
      <alignment vertical="center"/>
    </xf>
    <xf numFmtId="0" fontId="13" fillId="2" borderId="22" xfId="0" applyFont="1" applyFill="1" applyBorder="1" applyAlignment="1" applyProtection="1"/>
    <xf numFmtId="180" fontId="13" fillId="2" borderId="41" xfId="1" applyNumberFormat="1" applyFont="1" applyFill="1" applyBorder="1" applyAlignment="1" applyProtection="1">
      <alignment vertical="center"/>
    </xf>
    <xf numFmtId="49" fontId="13" fillId="0" borderId="36" xfId="0" applyNumberFormat="1" applyFont="1" applyFill="1" applyBorder="1" applyAlignment="1" applyProtection="1">
      <alignment horizontal="center" vertical="center"/>
    </xf>
    <xf numFmtId="4" fontId="13" fillId="0" borderId="54" xfId="1" applyNumberFormat="1" applyFont="1" applyFill="1" applyBorder="1" applyAlignment="1" applyProtection="1">
      <alignment horizontal="right" vertical="center"/>
    </xf>
    <xf numFmtId="180" fontId="13" fillId="0" borderId="34" xfId="1" applyNumberFormat="1" applyFont="1" applyFill="1" applyBorder="1" applyAlignment="1" applyProtection="1">
      <alignment vertical="center"/>
    </xf>
    <xf numFmtId="180" fontId="13" fillId="2" borderId="34" xfId="1" applyNumberFormat="1" applyFont="1" applyFill="1" applyBorder="1" applyAlignment="1" applyProtection="1">
      <alignment vertical="center"/>
    </xf>
    <xf numFmtId="181" fontId="13" fillId="2" borderId="34" xfId="1" applyNumberFormat="1" applyFont="1" applyFill="1" applyBorder="1" applyAlignment="1" applyProtection="1">
      <alignment vertical="center"/>
    </xf>
    <xf numFmtId="180" fontId="13" fillId="2" borderId="40" xfId="1" applyNumberFormat="1" applyFont="1" applyFill="1" applyBorder="1" applyAlignment="1" applyProtection="1">
      <alignment vertical="center"/>
    </xf>
    <xf numFmtId="181" fontId="13" fillId="2" borderId="40" xfId="1" applyNumberFormat="1" applyFont="1" applyFill="1" applyBorder="1" applyAlignment="1" applyProtection="1">
      <alignment vertical="center"/>
    </xf>
    <xf numFmtId="4" fontId="13" fillId="0" borderId="55" xfId="1" applyNumberFormat="1" applyFont="1" applyFill="1" applyBorder="1" applyAlignment="1" applyProtection="1">
      <alignment horizontal="right" vertical="center"/>
    </xf>
    <xf numFmtId="0" fontId="2" fillId="2" borderId="0" xfId="0" applyFont="1" applyFill="1" applyBorder="1" applyAlignment="1" applyProtection="1" quotePrefix="1">
      <alignment horizontal="right" vertical="center"/>
    </xf>
    <xf numFmtId="0" fontId="10" fillId="2" borderId="0" xfId="0" applyFont="1" applyFill="1" applyBorder="1" applyAlignment="1" applyProtection="1" quotePrefix="1">
      <alignment horizontal="righ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EX2004-12 AIR 10000 SET" xfId="49"/>
    <cellStyle name="常规 2" xfId="50"/>
  </cellStyles>
  <tableStyles count="0" defaultTableStyle="TableStyleMedium2" defaultPivotStyle="PivotStyleLight16"/>
  <colors>
    <mruColors>
      <color rgb="00FF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485140</xdr:colOff>
      <xdr:row>8</xdr:row>
      <xdr:rowOff>85725</xdr:rowOff>
    </xdr:from>
    <xdr:to>
      <xdr:col>14</xdr:col>
      <xdr:colOff>109855</xdr:colOff>
      <xdr:row>10</xdr:row>
      <xdr:rowOff>238125</xdr:rowOff>
    </xdr:to>
    <xdr:sp>
      <xdr:nvSpPr>
        <xdr:cNvPr id="5" name="มนมุมสี่เหลี่ยมด้านทแยงมุม 18"/>
        <xdr:cNvSpPr/>
      </xdr:nvSpPr>
      <xdr:spPr>
        <a:xfrm>
          <a:off x="2952750" y="2236470"/>
          <a:ext cx="5906770" cy="508635"/>
        </a:xfrm>
        <a:prstGeom prst="round2Diag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17</xdr:col>
      <xdr:colOff>27940</xdr:colOff>
      <xdr:row>1</xdr:row>
      <xdr:rowOff>173990</xdr:rowOff>
    </xdr:from>
    <xdr:to>
      <xdr:col>17</xdr:col>
      <xdr:colOff>1071294</xdr:colOff>
      <xdr:row>3</xdr:row>
      <xdr:rowOff>28653</xdr:rowOff>
    </xdr:to>
    <xdr:sp>
      <xdr:nvSpPr>
        <xdr:cNvPr id="13" name="สี่เหลี่ยมมุมมน 7"/>
        <xdr:cNvSpPr/>
      </xdr:nvSpPr>
      <xdr:spPr>
        <a:xfrm>
          <a:off x="10541635" y="507365"/>
          <a:ext cx="1043305" cy="487045"/>
        </a:xfrm>
        <a:prstGeom prst="roundRect">
          <a:avLst/>
        </a:prstGeom>
        <a:noFill/>
        <a:ln cmpd="dbl">
          <a:solidFill>
            <a:schemeClr val="tx1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th-TH" sz="800">
            <a:solidFill>
              <a:srgbClr val="FF0000"/>
            </a:solidFill>
            <a:latin typeface="Leelawadee" panose="020B0502040204020203" pitchFamily="34" charset="-34"/>
            <a:cs typeface="Leelawadee" panose="020B0502040204020203" pitchFamily="34" charset="-34"/>
          </a:endParaRPr>
        </a:p>
      </xdr:txBody>
    </xdr:sp>
    <xdr:clientData/>
  </xdr:twoCellAnchor>
  <xdr:twoCellAnchor>
    <xdr:from>
      <xdr:col>40</xdr:col>
      <xdr:colOff>724535</xdr:colOff>
      <xdr:row>8</xdr:row>
      <xdr:rowOff>99060</xdr:rowOff>
    </xdr:from>
    <xdr:to>
      <xdr:col>48</xdr:col>
      <xdr:colOff>572770</xdr:colOff>
      <xdr:row>11</xdr:row>
      <xdr:rowOff>95885</xdr:rowOff>
    </xdr:to>
    <xdr:sp>
      <xdr:nvSpPr>
        <xdr:cNvPr id="20" name="มนมุมสี่เหลี่ยมด้านทแยงมุม 18"/>
        <xdr:cNvSpPr/>
      </xdr:nvSpPr>
      <xdr:spPr>
        <a:xfrm>
          <a:off x="27244040" y="2249805"/>
          <a:ext cx="4126230" cy="591185"/>
        </a:xfrm>
        <a:prstGeom prst="round2Diag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22</xdr:col>
      <xdr:colOff>752475</xdr:colOff>
      <xdr:row>8</xdr:row>
      <xdr:rowOff>133350</xdr:rowOff>
    </xdr:from>
    <xdr:to>
      <xdr:col>32</xdr:col>
      <xdr:colOff>307521</xdr:colOff>
      <xdr:row>11</xdr:row>
      <xdr:rowOff>44406</xdr:rowOff>
    </xdr:to>
    <xdr:sp>
      <xdr:nvSpPr>
        <xdr:cNvPr id="16" name="มนมุมสี่เหลี่ยมด้านทแยงมุม 18"/>
        <xdr:cNvSpPr/>
      </xdr:nvSpPr>
      <xdr:spPr>
        <a:xfrm>
          <a:off x="15658465" y="2284095"/>
          <a:ext cx="4893310" cy="504825"/>
        </a:xfrm>
        <a:prstGeom prst="round2Diag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35</xdr:col>
      <xdr:colOff>118745</xdr:colOff>
      <xdr:row>1</xdr:row>
      <xdr:rowOff>156845</xdr:rowOff>
    </xdr:from>
    <xdr:to>
      <xdr:col>35</xdr:col>
      <xdr:colOff>1162050</xdr:colOff>
      <xdr:row>3</xdr:row>
      <xdr:rowOff>11430</xdr:rowOff>
    </xdr:to>
    <xdr:sp>
      <xdr:nvSpPr>
        <xdr:cNvPr id="22" name="สี่เหลี่ยมมุมมน 7"/>
        <xdr:cNvSpPr/>
      </xdr:nvSpPr>
      <xdr:spPr>
        <a:xfrm>
          <a:off x="22042755" y="490220"/>
          <a:ext cx="1043305" cy="487045"/>
        </a:xfrm>
        <a:prstGeom prst="roundRect">
          <a:avLst/>
        </a:prstGeom>
        <a:noFill/>
        <a:ln cmpd="dbl">
          <a:solidFill>
            <a:schemeClr val="tx1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th-TH" altLang="en-US" sz="800">
            <a:solidFill>
              <a:srgbClr val="FF0000"/>
            </a:solidFill>
            <a:latin typeface="Leelawadee" panose="020B0502040204020203" pitchFamily="34" charset="-34"/>
            <a:cs typeface="Leelawadee" panose="020B0502040204020203" pitchFamily="34" charset="-34"/>
          </a:endParaRPr>
        </a:p>
      </xdr:txBody>
    </xdr:sp>
    <xdr:clientData/>
  </xdr:twoCellAnchor>
  <xdr:twoCellAnchor>
    <xdr:from>
      <xdr:col>53</xdr:col>
      <xdr:colOff>166370</xdr:colOff>
      <xdr:row>2</xdr:row>
      <xdr:rowOff>8255</xdr:rowOff>
    </xdr:from>
    <xdr:to>
      <xdr:col>53</xdr:col>
      <xdr:colOff>1209675</xdr:colOff>
      <xdr:row>3</xdr:row>
      <xdr:rowOff>38100</xdr:rowOff>
    </xdr:to>
    <xdr:sp>
      <xdr:nvSpPr>
        <xdr:cNvPr id="23" name="สี่เหลี่ยมมุมมน 7"/>
        <xdr:cNvSpPr/>
      </xdr:nvSpPr>
      <xdr:spPr>
        <a:xfrm>
          <a:off x="33594040" y="516890"/>
          <a:ext cx="1043305" cy="487045"/>
        </a:xfrm>
        <a:prstGeom prst="roundRect">
          <a:avLst/>
        </a:prstGeom>
        <a:noFill/>
        <a:ln cmpd="dbl">
          <a:solidFill>
            <a:schemeClr val="tx1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th-TH" altLang="en-US" sz="800">
            <a:solidFill>
              <a:srgbClr val="FF0000"/>
            </a:solidFill>
            <a:latin typeface="Leelawadee" panose="020B0502040204020203" pitchFamily="34" charset="-34"/>
            <a:cs typeface="Leelawadee" panose="020B0502040204020203" pitchFamily="34" charset="-34"/>
          </a:endParaRPr>
        </a:p>
      </xdr:txBody>
    </xdr:sp>
    <xdr:clientData/>
  </xdr:twoCellAnchor>
  <xdr:twoCellAnchor editAs="absolute">
    <xdr:from>
      <xdr:col>1</xdr:col>
      <xdr:colOff>116840</xdr:colOff>
      <xdr:row>2</xdr:row>
      <xdr:rowOff>37465</xdr:rowOff>
    </xdr:from>
    <xdr:to>
      <xdr:col>2</xdr:col>
      <xdr:colOff>749300</xdr:colOff>
      <xdr:row>6</xdr:row>
      <xdr:rowOff>62230</xdr:rowOff>
    </xdr:to>
    <xdr:pic>
      <xdr:nvPicPr>
        <xdr:cNvPr id="2" name="图片 1" descr="图片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5465" y="546100"/>
          <a:ext cx="1350645" cy="1288415"/>
        </a:xfrm>
        <a:prstGeom prst="rect">
          <a:avLst/>
        </a:prstGeom>
      </xdr:spPr>
    </xdr:pic>
    <xdr:clientData/>
  </xdr:twoCellAnchor>
  <xdr:twoCellAnchor editAs="absolute">
    <xdr:from>
      <xdr:col>19</xdr:col>
      <xdr:colOff>240030</xdr:colOff>
      <xdr:row>2</xdr:row>
      <xdr:rowOff>31115</xdr:rowOff>
    </xdr:from>
    <xdr:to>
      <xdr:col>20</xdr:col>
      <xdr:colOff>798195</xdr:colOff>
      <xdr:row>6</xdr:row>
      <xdr:rowOff>26035</xdr:rowOff>
    </xdr:to>
    <xdr:pic>
      <xdr:nvPicPr>
        <xdr:cNvPr id="3" name="图片 2" descr="图片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276455" y="539750"/>
          <a:ext cx="1320165" cy="1258570"/>
        </a:xfrm>
        <a:prstGeom prst="rect">
          <a:avLst/>
        </a:prstGeom>
      </xdr:spPr>
    </xdr:pic>
    <xdr:clientData/>
  </xdr:twoCellAnchor>
  <xdr:twoCellAnchor editAs="absolute">
    <xdr:from>
      <xdr:col>37</xdr:col>
      <xdr:colOff>141605</xdr:colOff>
      <xdr:row>2</xdr:row>
      <xdr:rowOff>8255</xdr:rowOff>
    </xdr:from>
    <xdr:to>
      <xdr:col>38</xdr:col>
      <xdr:colOff>798195</xdr:colOff>
      <xdr:row>6</xdr:row>
      <xdr:rowOff>41275</xdr:rowOff>
    </xdr:to>
    <xdr:pic>
      <xdr:nvPicPr>
        <xdr:cNvPr id="4" name="图片 3" descr="图片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686135" y="516890"/>
          <a:ext cx="1359535" cy="12966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C00000"/>
  </sheetPr>
  <dimension ref="A1:BC60"/>
  <sheetViews>
    <sheetView tabSelected="1" view="pageBreakPreview" zoomScale="85" zoomScaleNormal="75" topLeftCell="T1" workbookViewId="0">
      <selection activeCell="AL3" sqref="AL3:AM6"/>
    </sheetView>
  </sheetViews>
  <sheetFormatPr defaultColWidth="9" defaultRowHeight="13.8"/>
  <cols>
    <col min="1" max="1" width="5.625" style="9" customWidth="1"/>
    <col min="2" max="2" width="9.425" style="9" customWidth="1"/>
    <col min="3" max="3" width="17.3333333333333" style="9" customWidth="1"/>
    <col min="4" max="4" width="14.55" style="9" customWidth="1"/>
    <col min="5" max="5" width="6.44166666666667" style="9" customWidth="1"/>
    <col min="6" max="6" width="2" style="9" customWidth="1"/>
    <col min="7" max="7" width="15.1083333333333" style="9" customWidth="1"/>
    <col min="8" max="8" width="7.99166666666667" style="9" customWidth="1"/>
    <col min="9" max="9" width="11.1083333333333" style="9" customWidth="1"/>
    <col min="10" max="10" width="0.991666666666667" style="9" customWidth="1"/>
    <col min="11" max="11" width="10" style="9" customWidth="1"/>
    <col min="12" max="12" width="1.66666666666667" style="9" customWidth="1"/>
    <col min="13" max="13" width="12.1166666666667" style="10" customWidth="1"/>
    <col min="14" max="14" width="0.466666666666667" style="9" customWidth="1"/>
    <col min="15" max="15" width="11.45" style="11" customWidth="1"/>
    <col min="16" max="16" width="8.70833333333333" style="9" customWidth="1"/>
    <col min="17" max="17" width="2.99166666666667" style="9" customWidth="1"/>
    <col min="18" max="18" width="14.3583333333333" style="9" customWidth="1"/>
    <col min="19" max="19" width="5.625" style="9" customWidth="1"/>
    <col min="20" max="20" width="10" style="9" customWidth="1"/>
    <col min="21" max="21" width="17.3333333333333" style="9" customWidth="1"/>
    <col min="22" max="22" width="12.5333333333333" style="9" customWidth="1"/>
    <col min="23" max="23" width="7.66666666666667" style="9" customWidth="1"/>
    <col min="24" max="24" width="2.10833333333333" style="9" customWidth="1"/>
    <col min="25" max="25" width="11.9666666666667" style="9" customWidth="1"/>
    <col min="26" max="26" width="8.21666666666667" style="9" customWidth="1"/>
    <col min="27" max="27" width="11.55" style="9" customWidth="1"/>
    <col min="28" max="28" width="1.43333333333333" style="9" customWidth="1"/>
    <col min="29" max="29" width="10.6583333333333" style="9" customWidth="1"/>
    <col min="30" max="30" width="1.775" style="9" customWidth="1"/>
    <col min="31" max="31" width="10.9333333333333" style="9" customWidth="1"/>
    <col min="32" max="32" width="1.54166666666667" style="9" customWidth="1"/>
    <col min="33" max="33" width="10.1083333333333" style="9" customWidth="1"/>
    <col min="34" max="34" width="8.825" style="9" customWidth="1"/>
    <col min="35" max="35" width="3.10833333333333" style="9" customWidth="1"/>
    <col min="36" max="36" width="15.6416666666667" style="9" customWidth="1"/>
    <col min="37" max="37" width="5.625" style="9" customWidth="1"/>
    <col min="38" max="38" width="9.225" style="9" customWidth="1"/>
    <col min="39" max="39" width="17.775" style="9" customWidth="1"/>
    <col min="40" max="40" width="12.0416666666667" style="9" customWidth="1"/>
    <col min="41" max="41" width="11.5583333333333" style="9" customWidth="1"/>
    <col min="42" max="42" width="2.55833333333333" style="9" customWidth="1"/>
    <col min="43" max="43" width="6.70833333333333" style="9" customWidth="1"/>
    <col min="44" max="44" width="9" style="9" customWidth="1"/>
    <col min="45" max="45" width="12.4416666666667" style="9" customWidth="1"/>
    <col min="46" max="46" width="2.325" style="9" customWidth="1"/>
    <col min="47" max="47" width="9.44166666666667" style="9" customWidth="1"/>
    <col min="48" max="48" width="2.10833333333333" style="9" customWidth="1"/>
    <col min="49" max="49" width="11.6666666666667" style="9" customWidth="1"/>
    <col min="50" max="50" width="0.35" style="9" customWidth="1"/>
    <col min="51" max="51" width="11.45" style="9" customWidth="1"/>
    <col min="52" max="52" width="8.23333333333333" style="9" customWidth="1"/>
    <col min="53" max="53" width="2.81666666666667" style="9" customWidth="1"/>
    <col min="54" max="54" width="17.1833333333333" style="9" customWidth="1"/>
    <col min="55" max="55" width="5.625" style="9" customWidth="1"/>
    <col min="56" max="16384" width="9" style="9"/>
  </cols>
  <sheetData>
    <row r="1" ht="26.25" customHeight="1" spans="1:5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86"/>
      <c r="N1" s="12"/>
      <c r="O1" s="87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</row>
    <row r="2" spans="1:55">
      <c r="A2" s="12"/>
      <c r="S2" s="12"/>
      <c r="AK2" s="12"/>
      <c r="BC2" s="12"/>
    </row>
    <row r="3" ht="36" customHeight="1" spans="1:55">
      <c r="A3" s="12"/>
      <c r="B3" s="11"/>
      <c r="C3" s="11"/>
      <c r="D3" s="13" t="s">
        <v>0</v>
      </c>
      <c r="R3" s="173" t="s">
        <v>1</v>
      </c>
      <c r="S3" s="12"/>
      <c r="T3" s="11"/>
      <c r="U3" s="11"/>
      <c r="V3" s="174" t="str">
        <f>IF(D3=0,"",D3)</f>
        <v>บริษัท เจินเวสเทิร์น เทคโนโลยี (ไทยแลนด์) จำกัด</v>
      </c>
      <c r="AJ3" s="173" t="s">
        <v>2</v>
      </c>
      <c r="AK3" s="12"/>
      <c r="AL3" s="11"/>
      <c r="AM3" s="11"/>
      <c r="AN3" s="13" t="str">
        <f>IF(V3=0,"",V3)</f>
        <v>บริษัท เจินเวสเทิร์น เทคโนโลยี (ไทยแลนด์) จำกัด</v>
      </c>
      <c r="BB3" s="173" t="s">
        <v>2</v>
      </c>
      <c r="BC3" s="12"/>
    </row>
    <row r="4" ht="31.5" customHeight="1" spans="1:55">
      <c r="A4" s="12"/>
      <c r="B4" s="11"/>
      <c r="C4" s="11"/>
      <c r="D4" s="14" t="s">
        <v>3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R4" s="175"/>
      <c r="S4" s="12"/>
      <c r="T4" s="11"/>
      <c r="U4" s="11"/>
      <c r="V4" s="176" t="str">
        <f>IF(D4=0,"",D4)</f>
        <v>    ZHENWESTERN TECHNOLOGIES(THAILAND) CO.,LTD.</v>
      </c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76"/>
      <c r="AH4" s="234"/>
      <c r="AJ4" s="4"/>
      <c r="AK4" s="12"/>
      <c r="AL4" s="11"/>
      <c r="AM4" s="11"/>
      <c r="AN4" s="176" t="str">
        <f>IF(V4=0,"",V4)</f>
        <v>    ZHENWESTERN TECHNOLOGIES(THAILAND) CO.,LTD.</v>
      </c>
      <c r="AO4" s="176"/>
      <c r="AP4" s="176"/>
      <c r="AQ4" s="176"/>
      <c r="AR4" s="176"/>
      <c r="AS4" s="176"/>
      <c r="AT4" s="176"/>
      <c r="AU4" s="176"/>
      <c r="AV4" s="176"/>
      <c r="AW4" s="176"/>
      <c r="AX4" s="176"/>
      <c r="AY4" s="176"/>
      <c r="BB4" s="4"/>
      <c r="BC4" s="12"/>
    </row>
    <row r="5" ht="16" customHeight="1" spans="1:55">
      <c r="A5" s="12"/>
      <c r="B5" s="11"/>
      <c r="C5" s="11"/>
      <c r="D5" s="15" t="s">
        <v>4</v>
      </c>
      <c r="E5" s="15"/>
      <c r="F5" s="15"/>
      <c r="G5" s="15"/>
      <c r="H5" s="15"/>
      <c r="I5" s="15"/>
      <c r="J5" s="15"/>
      <c r="K5" s="15"/>
      <c r="L5" s="15"/>
      <c r="M5" s="15"/>
      <c r="N5" s="15"/>
      <c r="S5" s="12"/>
      <c r="T5" s="11"/>
      <c r="U5" s="11"/>
      <c r="V5" s="15" t="str">
        <f>D5</f>
        <v>สำนักงานใหญ่    : 447/48 หมู่ที่ 3 ตำบลหนองไผ่แก้ว อำเภอบ้านบึง จังหวัดชลบุรี 20220</v>
      </c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K5" s="12"/>
      <c r="AL5" s="11"/>
      <c r="AM5" s="11"/>
      <c r="AN5" s="15" t="str">
        <f t="shared" ref="AN5:AN7" si="0">V5</f>
        <v>สำนักงานใหญ่    : 447/48 หมู่ที่ 3 ตำบลหนองไผ่แก้ว อำเภอบ้านบึง จังหวัดชลบุรี 20220</v>
      </c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BC5" s="12"/>
    </row>
    <row r="6" ht="16" customHeight="1" spans="1:55">
      <c r="A6" s="12"/>
      <c r="B6" s="11"/>
      <c r="C6" s="11"/>
      <c r="D6" s="15" t="s">
        <v>5</v>
      </c>
      <c r="E6" s="15"/>
      <c r="F6" s="15"/>
      <c r="G6" s="15"/>
      <c r="H6" s="15"/>
      <c r="I6" s="15"/>
      <c r="J6" s="15"/>
      <c r="K6" s="15"/>
      <c r="L6" s="15"/>
      <c r="M6" s="15"/>
      <c r="N6" s="15"/>
      <c r="S6" s="12"/>
      <c r="T6" s="11"/>
      <c r="U6" s="11"/>
      <c r="V6" s="15" t="str">
        <f>D6</f>
        <v>Head Office    : 447/48,Moo 3，Nong Phai Kaeo，Ban Bueng，Chon Buri 20220</v>
      </c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K6" s="12"/>
      <c r="AL6" s="11"/>
      <c r="AM6" s="11"/>
      <c r="AN6" s="15" t="str">
        <f t="shared" si="0"/>
        <v>Head Office    : 447/48,Moo 3，Nong Phai Kaeo，Ban Bueng，Chon Buri 20220</v>
      </c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BC6" s="12"/>
    </row>
    <row r="7" ht="16" customHeight="1" spans="1:55">
      <c r="A7" s="12"/>
      <c r="D7" s="15" t="s">
        <v>6</v>
      </c>
      <c r="E7" s="15"/>
      <c r="F7" s="15"/>
      <c r="G7" s="15"/>
      <c r="H7" s="15"/>
      <c r="I7" s="15"/>
      <c r="J7" s="15"/>
      <c r="K7" s="15"/>
      <c r="L7" s="15"/>
      <c r="M7" s="15"/>
      <c r="N7" s="15"/>
      <c r="S7" s="12"/>
      <c r="V7" s="15" t="str">
        <f>D7</f>
        <v>โทร/Tel. 0631657366      เลขประจำตัวผู้เสียภาษี/TAX ID 0105566051021</v>
      </c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K7" s="12"/>
      <c r="AN7" s="15" t="str">
        <f t="shared" si="0"/>
        <v>โทร/Tel. 0631657366      เลขประจำตัวผู้เสียภาษี/TAX ID 0105566051021</v>
      </c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BC7" s="12"/>
    </row>
    <row r="8" spans="1:55">
      <c r="A8" s="12"/>
      <c r="S8" s="12"/>
      <c r="AK8" s="12"/>
      <c r="BC8" s="12"/>
    </row>
    <row r="9" spans="1:55">
      <c r="A9" s="12"/>
      <c r="S9" s="12"/>
      <c r="AK9" s="12"/>
      <c r="BC9" s="12"/>
    </row>
    <row r="10" s="1" customFormat="1" ht="19.2" spans="1:55">
      <c r="A10" s="16"/>
      <c r="B10" s="17" t="s">
        <v>7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6"/>
      <c r="T10" s="17" t="s">
        <v>8</v>
      </c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6"/>
      <c r="AL10" s="17" t="s">
        <v>8</v>
      </c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6"/>
    </row>
    <row r="11" s="2" customFormat="1" spans="1:55">
      <c r="A11" s="18"/>
      <c r="B11" s="19" t="s">
        <v>9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8"/>
      <c r="T11" s="19" t="s">
        <v>10</v>
      </c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8"/>
      <c r="AL11" s="19" t="s">
        <v>10</v>
      </c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8"/>
    </row>
    <row r="12" ht="15.75" customHeight="1" spans="1:55">
      <c r="A12" s="2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8"/>
      <c r="N12" s="8"/>
      <c r="O12" s="3"/>
      <c r="P12" s="8"/>
      <c r="Q12" s="8"/>
      <c r="R12" s="8"/>
      <c r="S12" s="12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12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12"/>
    </row>
    <row r="13" ht="19.5" customHeight="1" spans="1:55">
      <c r="A13" s="20"/>
      <c r="B13" s="21" t="s">
        <v>11</v>
      </c>
      <c r="C13" s="22"/>
      <c r="D13" s="23" t="s">
        <v>12</v>
      </c>
      <c r="E13" s="22"/>
      <c r="F13" s="22"/>
      <c r="G13" s="22"/>
      <c r="H13" s="22"/>
      <c r="I13" s="22"/>
      <c r="J13" s="24"/>
      <c r="K13" s="24"/>
      <c r="L13" s="24"/>
      <c r="M13" s="89"/>
      <c r="N13" s="24"/>
      <c r="O13" s="90" t="s">
        <v>13</v>
      </c>
      <c r="P13" s="91"/>
      <c r="Q13" s="177" t="s">
        <v>14</v>
      </c>
      <c r="R13" s="177"/>
      <c r="S13" s="12"/>
      <c r="T13" s="21" t="s">
        <v>11</v>
      </c>
      <c r="V13" s="23" t="str">
        <f>D13</f>
        <v>Customer Name</v>
      </c>
      <c r="AC13" s="8"/>
      <c r="AD13" s="8"/>
      <c r="AE13" s="8"/>
      <c r="AF13" s="8"/>
      <c r="AG13" s="90"/>
      <c r="AI13" s="94" t="str">
        <f>O13</f>
        <v>เลขที่/ DocumentNo.：</v>
      </c>
      <c r="AJ13" s="235" t="str">
        <f>Q13</f>
        <v>DocumentNo</v>
      </c>
      <c r="AK13" s="12"/>
      <c r="AL13" s="21" t="str">
        <f>T13</f>
        <v>  นามผู้ซื้อ Customer Name：</v>
      </c>
      <c r="AM13" s="23"/>
      <c r="AN13" s="23" t="str">
        <f>V13</f>
        <v>Customer Name</v>
      </c>
      <c r="AO13" s="23"/>
      <c r="AR13" s="8"/>
      <c r="AS13" s="8"/>
      <c r="AT13" s="8"/>
      <c r="AU13" s="8"/>
      <c r="AV13" s="8"/>
      <c r="AW13" s="8"/>
      <c r="AX13" s="8"/>
      <c r="AY13" s="8"/>
      <c r="AZ13" s="237"/>
      <c r="BA13" s="237" t="str">
        <f>AI13</f>
        <v>เลขที่/ DocumentNo.：</v>
      </c>
      <c r="BB13" s="235" t="str">
        <f>AJ13</f>
        <v>DocumentNo</v>
      </c>
      <c r="BC13" s="12"/>
    </row>
    <row r="14" ht="19.5" customHeight="1" spans="1:55">
      <c r="A14" s="20"/>
      <c r="B14" s="24" t="s">
        <v>15</v>
      </c>
      <c r="C14" s="22"/>
      <c r="D14" s="23" t="s">
        <v>16</v>
      </c>
      <c r="E14" s="23"/>
      <c r="F14" s="23"/>
      <c r="G14" s="23"/>
      <c r="H14" s="23"/>
      <c r="I14" s="23"/>
      <c r="J14" s="23"/>
      <c r="K14" s="23"/>
      <c r="L14" s="23"/>
      <c r="M14" s="89"/>
      <c r="N14" s="24"/>
      <c r="O14" s="77" t="s">
        <v>17</v>
      </c>
      <c r="P14" s="92"/>
      <c r="Q14" s="178" t="s">
        <v>18</v>
      </c>
      <c r="R14" s="178"/>
      <c r="S14" s="12"/>
      <c r="T14" s="24" t="s">
        <v>15</v>
      </c>
      <c r="U14" s="179"/>
      <c r="V14" s="23" t="str">
        <f>D14</f>
        <v>Customer Address</v>
      </c>
      <c r="W14" s="180"/>
      <c r="X14" s="180"/>
      <c r="Y14" s="180"/>
      <c r="Z14" s="180"/>
      <c r="AA14" s="180"/>
      <c r="AB14" s="180"/>
      <c r="AC14" s="180"/>
      <c r="AD14" s="180"/>
      <c r="AE14" s="180"/>
      <c r="AF14" s="8"/>
      <c r="AG14" s="77"/>
      <c r="AH14" s="24"/>
      <c r="AI14" s="94" t="str">
        <f>O14</f>
        <v>วันที่/ Date：</v>
      </c>
      <c r="AJ14" s="236" t="str">
        <f>Q14</f>
        <v>FX Date</v>
      </c>
      <c r="AK14" s="12"/>
      <c r="AL14" s="24" t="str">
        <f t="shared" ref="AL14:AL19" si="1">T14</f>
        <v>   ที่อยู่ /Address</v>
      </c>
      <c r="AM14" s="23"/>
      <c r="AN14" s="23" t="str">
        <f t="shared" ref="AN14:AN19" si="2">V14</f>
        <v>Customer Address</v>
      </c>
      <c r="AO14" s="23"/>
      <c r="AP14" s="179"/>
      <c r="AQ14" s="179"/>
      <c r="AR14" s="179"/>
      <c r="AS14" s="179"/>
      <c r="AT14" s="179"/>
      <c r="AU14" s="179"/>
      <c r="AV14" s="8"/>
      <c r="AW14" s="237"/>
      <c r="AX14" s="3"/>
      <c r="AY14" s="3"/>
      <c r="AZ14" s="237"/>
      <c r="BA14" s="237" t="str">
        <f>AI14</f>
        <v>วันที่/ Date：</v>
      </c>
      <c r="BB14" s="236" t="str">
        <f>AJ14</f>
        <v>FX Date</v>
      </c>
      <c r="BC14" s="12"/>
    </row>
    <row r="15" ht="4.5" customHeight="1" spans="1:55">
      <c r="A15" s="20"/>
      <c r="B15" s="25"/>
      <c r="C15" s="22"/>
      <c r="D15" s="26"/>
      <c r="E15" s="26"/>
      <c r="F15" s="26"/>
      <c r="G15" s="26"/>
      <c r="H15" s="26"/>
      <c r="I15" s="26"/>
      <c r="J15" s="26"/>
      <c r="K15" s="26"/>
      <c r="L15" s="24"/>
      <c r="M15" s="89"/>
      <c r="N15" s="24"/>
      <c r="O15" s="93"/>
      <c r="P15" s="94"/>
      <c r="Q15" s="94"/>
      <c r="R15" s="22"/>
      <c r="S15" s="12"/>
      <c r="T15" s="67"/>
      <c r="V15" s="181"/>
      <c r="W15" s="181"/>
      <c r="X15" s="181"/>
      <c r="Y15" s="181"/>
      <c r="Z15" s="181"/>
      <c r="AA15" s="181"/>
      <c r="AB15" s="181"/>
      <c r="AC15" s="181"/>
      <c r="AD15" s="8"/>
      <c r="AE15" s="8"/>
      <c r="AF15" s="8"/>
      <c r="AG15" s="237"/>
      <c r="AH15" s="237"/>
      <c r="AI15" s="237"/>
      <c r="AK15" s="12"/>
      <c r="AL15" s="67"/>
      <c r="AM15" s="181"/>
      <c r="AN15" s="181"/>
      <c r="AO15" s="181"/>
      <c r="AP15" s="181"/>
      <c r="AQ15" s="181"/>
      <c r="AR15" s="181"/>
      <c r="AS15" s="181"/>
      <c r="AT15" s="8"/>
      <c r="AU15" s="8"/>
      <c r="AV15" s="8"/>
      <c r="AW15" s="237"/>
      <c r="AX15" s="3"/>
      <c r="AY15" s="3"/>
      <c r="AZ15" s="237"/>
      <c r="BA15" s="237"/>
      <c r="BC15" s="12"/>
    </row>
    <row r="16" ht="16" customHeight="1" spans="1:55">
      <c r="A16" s="20"/>
      <c r="B16" s="24" t="s">
        <v>19</v>
      </c>
      <c r="C16" s="22"/>
      <c r="D16" s="23" t="s">
        <v>20</v>
      </c>
      <c r="E16" s="23"/>
      <c r="F16" s="23"/>
      <c r="G16" s="23"/>
      <c r="H16" s="23"/>
      <c r="I16" s="23"/>
      <c r="J16" s="23"/>
      <c r="K16" s="23"/>
      <c r="L16" s="24"/>
      <c r="M16" s="95" t="s">
        <v>21</v>
      </c>
      <c r="N16" s="22"/>
      <c r="O16" s="96"/>
      <c r="P16" s="97"/>
      <c r="Q16" s="22"/>
      <c r="R16" s="275" t="s">
        <v>22</v>
      </c>
      <c r="S16" s="12"/>
      <c r="T16" s="24" t="str">
        <f>B16</f>
        <v>   เลขประจำตัวผู้เสียภาษี/TAX ID</v>
      </c>
      <c r="U16" s="179"/>
      <c r="V16" s="23" t="str">
        <f>D16</f>
        <v>TAX ID</v>
      </c>
      <c r="W16" s="179"/>
      <c r="X16" s="179"/>
      <c r="Y16" s="179"/>
      <c r="Z16" s="179"/>
      <c r="AA16" s="179"/>
      <c r="AB16" s="179"/>
      <c r="AC16" s="179"/>
      <c r="AD16" s="179"/>
      <c r="AE16" s="95" t="str">
        <f>M16</f>
        <v>ชื่อ/Benificial Name</v>
      </c>
      <c r="AF16" s="8"/>
      <c r="AG16" s="8"/>
      <c r="AH16" s="214"/>
      <c r="AJ16" s="275" t="str">
        <f>R16</f>
        <v>บริษัท เจินเวสเทิร์น เทคโนโลยี (ไทยแลนด์) จำกัด</v>
      </c>
      <c r="AK16" s="12"/>
      <c r="AL16" s="24" t="str">
        <f t="shared" si="1"/>
        <v>   เลขประจำตัวผู้เสียภาษี/TAX ID</v>
      </c>
      <c r="AM16" s="23"/>
      <c r="AN16" s="23" t="str">
        <f>V16</f>
        <v>TAX ID</v>
      </c>
      <c r="AO16" s="23"/>
      <c r="AP16" s="179"/>
      <c r="AQ16" s="179"/>
      <c r="AR16" s="179"/>
      <c r="AS16" s="179"/>
      <c r="AT16" s="179"/>
      <c r="AU16" s="179"/>
      <c r="AV16" s="8"/>
      <c r="AW16" s="95" t="str">
        <f>AE16</f>
        <v>ชื่อ/Benificial Name</v>
      </c>
      <c r="AX16" s="3"/>
      <c r="AY16" s="3"/>
      <c r="AZ16" s="182"/>
      <c r="BB16" s="275" t="str">
        <f>AJ16</f>
        <v>บริษัท เจินเวสเทิร์น เทคโนโลยี (ไทยแลนด์) จำกัด</v>
      </c>
      <c r="BC16" s="12"/>
    </row>
    <row r="17" ht="16" customHeight="1" spans="1:55">
      <c r="A17" s="20"/>
      <c r="B17" s="24" t="s">
        <v>23</v>
      </c>
      <c r="C17" s="24"/>
      <c r="D17" s="27" t="s">
        <v>24</v>
      </c>
      <c r="E17" s="26"/>
      <c r="F17" s="26"/>
      <c r="G17" s="26"/>
      <c r="H17" s="26"/>
      <c r="I17" s="26"/>
      <c r="J17" s="26"/>
      <c r="K17" s="24"/>
      <c r="L17" s="24"/>
      <c r="M17" s="77" t="s">
        <v>25</v>
      </c>
      <c r="N17" s="24"/>
      <c r="O17" s="93"/>
      <c r="P17" s="98"/>
      <c r="Q17" s="24"/>
      <c r="R17" s="276" t="s">
        <v>26</v>
      </c>
      <c r="S17" s="12"/>
      <c r="T17" s="24" t="str">
        <f>B17</f>
        <v>  ใบสั่งซื้อเลขที่/Purchase Order No.</v>
      </c>
      <c r="U17" s="8"/>
      <c r="V17" s="27" t="str">
        <f>D17</f>
        <v>PO No</v>
      </c>
      <c r="W17" s="8"/>
      <c r="X17" s="8"/>
      <c r="Y17" s="8"/>
      <c r="Z17" s="8"/>
      <c r="AA17" s="8"/>
      <c r="AB17" s="8"/>
      <c r="AC17" s="8"/>
      <c r="AD17" s="211"/>
      <c r="AE17" s="77" t="str">
        <f>M17</f>
        <v>เลขที่บัญชี/Account No</v>
      </c>
      <c r="AF17" s="212"/>
      <c r="AG17" s="212"/>
      <c r="AH17" s="214"/>
      <c r="AI17" s="214"/>
      <c r="AJ17" s="276" t="str">
        <f>R17</f>
        <v> 6991908924(THB)/6999011524(USD)</v>
      </c>
      <c r="AK17" s="12"/>
      <c r="AL17" s="24" t="str">
        <f t="shared" si="1"/>
        <v>  ใบสั่งซื้อเลขที่/Purchase Order No.</v>
      </c>
      <c r="AM17" s="27"/>
      <c r="AN17" s="27" t="str">
        <f t="shared" si="2"/>
        <v>PO No</v>
      </c>
      <c r="AO17" s="27"/>
      <c r="AP17" s="8"/>
      <c r="AQ17" s="8"/>
      <c r="AR17" s="8"/>
      <c r="AS17" s="8"/>
      <c r="AT17" s="212"/>
      <c r="AU17" s="179"/>
      <c r="AV17" s="8"/>
      <c r="AW17" s="77" t="str">
        <f>AE17</f>
        <v>เลขที่บัญชี/Account No</v>
      </c>
      <c r="AX17" s="3"/>
      <c r="AY17" s="3"/>
      <c r="AZ17" s="94"/>
      <c r="BB17" s="276" t="str">
        <f>AJ17</f>
        <v> 6991908924(THB)/6999011524(USD)</v>
      </c>
      <c r="BC17" s="12"/>
    </row>
    <row r="18" ht="16" customHeight="1" spans="1:55">
      <c r="A18" s="20"/>
      <c r="B18" s="24" t="s">
        <v>27</v>
      </c>
      <c r="C18" s="28"/>
      <c r="D18" s="28"/>
      <c r="E18" s="24"/>
      <c r="F18" s="24"/>
      <c r="G18" s="24"/>
      <c r="H18" s="24"/>
      <c r="I18" s="99"/>
      <c r="J18" s="24"/>
      <c r="K18" s="24"/>
      <c r="L18" s="22"/>
      <c r="M18" s="77" t="s">
        <v>28</v>
      </c>
      <c r="N18" s="24"/>
      <c r="O18" s="93"/>
      <c r="P18" s="24"/>
      <c r="Q18" s="24"/>
      <c r="R18" s="276" t="s">
        <v>29</v>
      </c>
      <c r="S18" s="12"/>
      <c r="T18" s="22" t="str">
        <f>B18</f>
        <v>  พนักงานขาย/Salesman Name</v>
      </c>
      <c r="U18" s="22"/>
      <c r="V18" s="28"/>
      <c r="W18" s="179"/>
      <c r="X18" s="8"/>
      <c r="Y18" s="8"/>
      <c r="Z18" s="8"/>
      <c r="AA18" s="8"/>
      <c r="AB18" s="213"/>
      <c r="AC18" s="8"/>
      <c r="AD18" s="214"/>
      <c r="AE18" s="77" t="str">
        <f>M18</f>
        <v>ธนาคาร/Bank Name</v>
      </c>
      <c r="AF18" s="214"/>
      <c r="AG18" s="214"/>
      <c r="AH18" s="77"/>
      <c r="AI18" s="214"/>
      <c r="AJ18" s="276" t="str">
        <f>R18</f>
        <v>UNITED OVERSEAS BANK THAI PLC</v>
      </c>
      <c r="AK18" s="12"/>
      <c r="AL18" s="22" t="str">
        <f t="shared" si="1"/>
        <v>  พนักงานขาย/Salesman Name</v>
      </c>
      <c r="AM18" s="22"/>
      <c r="AN18" s="28"/>
      <c r="AO18" s="28"/>
      <c r="AP18" s="8"/>
      <c r="AQ18" s="213"/>
      <c r="AR18" s="8"/>
      <c r="AS18" s="8"/>
      <c r="AT18" s="8"/>
      <c r="AU18" s="179"/>
      <c r="AV18" s="8"/>
      <c r="AW18" s="77" t="str">
        <f>AE18</f>
        <v>ธนาคาร/Bank Name</v>
      </c>
      <c r="AX18" s="3"/>
      <c r="AY18" s="3"/>
      <c r="AZ18" s="94"/>
      <c r="BB18" s="276" t="str">
        <f>AJ18</f>
        <v>UNITED OVERSEAS BANK THAI PLC</v>
      </c>
      <c r="BC18" s="12"/>
    </row>
    <row r="19" ht="16" customHeight="1" spans="1:55">
      <c r="A19" s="20"/>
      <c r="B19" s="24" t="s">
        <v>30</v>
      </c>
      <c r="C19" s="24"/>
      <c r="D19" s="26" t="s">
        <v>31</v>
      </c>
      <c r="E19" s="26"/>
      <c r="F19" s="26"/>
      <c r="G19" s="26"/>
      <c r="H19" s="26"/>
      <c r="I19" s="26"/>
      <c r="J19" s="26"/>
      <c r="K19" s="93"/>
      <c r="L19" s="22"/>
      <c r="M19" s="24" t="s">
        <v>32</v>
      </c>
      <c r="N19" s="24"/>
      <c r="O19" s="93"/>
      <c r="P19" s="22"/>
      <c r="Q19" s="21"/>
      <c r="R19" s="276" t="s">
        <v>33</v>
      </c>
      <c r="S19" s="12"/>
      <c r="T19" s="24" t="str">
        <f>B19</f>
        <v>  กำหนดชำระเงิน/Payment Term</v>
      </c>
      <c r="U19" s="8"/>
      <c r="V19" s="26" t="str">
        <f>D19</f>
        <v>Payment Term</v>
      </c>
      <c r="Y19" s="215"/>
      <c r="Z19" s="29"/>
      <c r="AA19" s="8"/>
      <c r="AB19" s="3"/>
      <c r="AC19" s="8"/>
      <c r="AD19" s="214"/>
      <c r="AE19" s="24" t="str">
        <f>M19</f>
        <v>Swift Code</v>
      </c>
      <c r="AF19" s="214"/>
      <c r="AG19" s="214"/>
      <c r="AH19" s="68"/>
      <c r="AI19" s="214"/>
      <c r="AJ19" s="276" t="str">
        <f>R19</f>
        <v>UOVBTHBK</v>
      </c>
      <c r="AK19" s="12"/>
      <c r="AL19" s="24" t="str">
        <f t="shared" si="1"/>
        <v>  กำหนดชำระเงิน/Payment Term</v>
      </c>
      <c r="AM19" s="26"/>
      <c r="AN19" s="26" t="str">
        <f t="shared" si="2"/>
        <v>Payment Term</v>
      </c>
      <c r="AO19" s="26"/>
      <c r="AP19" s="8"/>
      <c r="AQ19" s="3"/>
      <c r="AR19" s="8"/>
      <c r="AS19" s="3"/>
      <c r="AT19" s="8"/>
      <c r="AU19" s="179"/>
      <c r="AV19" s="8"/>
      <c r="AW19" s="24" t="str">
        <f>AE19</f>
        <v>Swift Code</v>
      </c>
      <c r="AX19" s="3"/>
      <c r="AY19" s="3"/>
      <c r="AZ19" s="94"/>
      <c r="BB19" s="276" t="str">
        <f>AJ19</f>
        <v>UOVBTHBK</v>
      </c>
      <c r="BC19" s="12"/>
    </row>
    <row r="20" ht="14.55" spans="1:55">
      <c r="A20" s="20"/>
      <c r="B20" s="8"/>
      <c r="C20" s="8"/>
      <c r="E20" s="29"/>
      <c r="F20" s="29"/>
      <c r="G20" s="8"/>
      <c r="H20" s="8"/>
      <c r="I20" s="3"/>
      <c r="J20" s="8"/>
      <c r="K20" s="100"/>
      <c r="L20" s="101"/>
      <c r="M20" s="101"/>
      <c r="N20" s="101"/>
      <c r="Q20" s="8"/>
      <c r="R20" s="183"/>
      <c r="S20" s="12"/>
      <c r="T20" s="8" t="s">
        <v>34</v>
      </c>
      <c r="U20" s="8"/>
      <c r="W20" s="184"/>
      <c r="X20" s="184"/>
      <c r="Y20" s="216"/>
      <c r="Z20" s="216"/>
      <c r="AA20" s="184"/>
      <c r="AB20" s="217"/>
      <c r="AC20" s="184"/>
      <c r="AD20" s="3"/>
      <c r="AE20" s="3"/>
      <c r="AF20" s="8"/>
      <c r="AI20" s="181"/>
      <c r="AJ20" s="182"/>
      <c r="AK20" s="12"/>
      <c r="AL20" s="8" t="s">
        <v>34</v>
      </c>
      <c r="AM20" s="8"/>
      <c r="AO20" s="184"/>
      <c r="AP20" s="184"/>
      <c r="AQ20" s="217"/>
      <c r="AR20" s="184"/>
      <c r="AS20" s="100"/>
      <c r="AT20" s="3"/>
      <c r="AU20" s="3"/>
      <c r="AV20" s="8"/>
      <c r="AX20" s="8"/>
      <c r="BB20" s="183"/>
      <c r="BC20" s="12"/>
    </row>
    <row r="21" s="3" customFormat="1" ht="27" customHeight="1" spans="1:55">
      <c r="A21" s="30"/>
      <c r="B21" s="31" t="s">
        <v>35</v>
      </c>
      <c r="C21" s="32" t="s">
        <v>36</v>
      </c>
      <c r="D21" s="33"/>
      <c r="E21" s="32" t="s">
        <v>37</v>
      </c>
      <c r="F21" s="34"/>
      <c r="G21" s="34"/>
      <c r="H21" s="35" t="s">
        <v>38</v>
      </c>
      <c r="I21" s="102" t="s">
        <v>39</v>
      </c>
      <c r="J21" s="103" t="s">
        <v>40</v>
      </c>
      <c r="K21" s="104"/>
      <c r="L21" s="103" t="s">
        <v>41</v>
      </c>
      <c r="M21" s="103"/>
      <c r="N21" s="104"/>
      <c r="O21" s="105" t="s">
        <v>42</v>
      </c>
      <c r="P21" s="106" t="s">
        <v>43</v>
      </c>
      <c r="Q21" s="185"/>
      <c r="R21" s="186" t="s">
        <v>44</v>
      </c>
      <c r="S21" s="30"/>
      <c r="T21" s="31" t="s">
        <v>35</v>
      </c>
      <c r="U21" s="32" t="s">
        <v>36</v>
      </c>
      <c r="V21" s="33"/>
      <c r="W21" s="32" t="s">
        <v>37</v>
      </c>
      <c r="X21" s="34"/>
      <c r="Y21" s="34"/>
      <c r="Z21" s="35" t="s">
        <v>38</v>
      </c>
      <c r="AA21" s="102" t="s">
        <v>39</v>
      </c>
      <c r="AB21" s="103" t="s">
        <v>40</v>
      </c>
      <c r="AC21" s="104"/>
      <c r="AD21" s="103" t="s">
        <v>41</v>
      </c>
      <c r="AE21" s="103"/>
      <c r="AF21" s="104"/>
      <c r="AG21" s="105" t="s">
        <v>42</v>
      </c>
      <c r="AH21" s="106" t="s">
        <v>43</v>
      </c>
      <c r="AI21" s="185"/>
      <c r="AJ21" s="186" t="s">
        <v>44</v>
      </c>
      <c r="AK21" s="30"/>
      <c r="AL21" s="31" t="s">
        <v>35</v>
      </c>
      <c r="AM21" s="32" t="s">
        <v>36</v>
      </c>
      <c r="AN21" s="33"/>
      <c r="AO21" s="32" t="s">
        <v>37</v>
      </c>
      <c r="AP21" s="34"/>
      <c r="AQ21" s="34"/>
      <c r="AR21" s="35" t="s">
        <v>38</v>
      </c>
      <c r="AS21" s="102" t="s">
        <v>39</v>
      </c>
      <c r="AT21" s="103" t="s">
        <v>40</v>
      </c>
      <c r="AU21" s="104"/>
      <c r="AV21" s="103" t="s">
        <v>45</v>
      </c>
      <c r="AW21" s="103"/>
      <c r="AX21" s="104"/>
      <c r="AY21" s="105" t="s">
        <v>42</v>
      </c>
      <c r="AZ21" s="106" t="s">
        <v>43</v>
      </c>
      <c r="BA21" s="185"/>
      <c r="BB21" s="186" t="s">
        <v>44</v>
      </c>
      <c r="BC21" s="30"/>
    </row>
    <row r="22" s="4" customFormat="1" ht="26" customHeight="1" spans="1:55">
      <c r="A22" s="36"/>
      <c r="B22" s="37" t="s">
        <v>46</v>
      </c>
      <c r="C22" s="38" t="s">
        <v>47</v>
      </c>
      <c r="D22" s="39"/>
      <c r="E22" s="38" t="s">
        <v>48</v>
      </c>
      <c r="F22" s="40"/>
      <c r="G22" s="40"/>
      <c r="H22" s="41" t="s">
        <v>49</v>
      </c>
      <c r="I22" s="107" t="s">
        <v>50</v>
      </c>
      <c r="J22" s="108" t="s">
        <v>51</v>
      </c>
      <c r="K22" s="109"/>
      <c r="L22" s="108" t="s">
        <v>52</v>
      </c>
      <c r="M22" s="108"/>
      <c r="N22" s="109"/>
      <c r="O22" s="107" t="s">
        <v>53</v>
      </c>
      <c r="P22" s="110" t="s">
        <v>54</v>
      </c>
      <c r="Q22" s="109"/>
      <c r="R22" s="187" t="s">
        <v>55</v>
      </c>
      <c r="S22" s="36"/>
      <c r="T22" s="37" t="s">
        <v>46</v>
      </c>
      <c r="U22" s="38" t="s">
        <v>47</v>
      </c>
      <c r="V22" s="39"/>
      <c r="W22" s="38" t="s">
        <v>48</v>
      </c>
      <c r="X22" s="40"/>
      <c r="Y22" s="40"/>
      <c r="Z22" s="41" t="s">
        <v>49</v>
      </c>
      <c r="AA22" s="107" t="s">
        <v>50</v>
      </c>
      <c r="AB22" s="108" t="s">
        <v>51</v>
      </c>
      <c r="AC22" s="109"/>
      <c r="AD22" s="108" t="s">
        <v>52</v>
      </c>
      <c r="AE22" s="108"/>
      <c r="AF22" s="109"/>
      <c r="AG22" s="107" t="s">
        <v>53</v>
      </c>
      <c r="AH22" s="110" t="s">
        <v>54</v>
      </c>
      <c r="AI22" s="109"/>
      <c r="AJ22" s="187" t="s">
        <v>55</v>
      </c>
      <c r="AK22" s="36"/>
      <c r="AL22" s="37" t="s">
        <v>46</v>
      </c>
      <c r="AM22" s="38" t="s">
        <v>47</v>
      </c>
      <c r="AN22" s="39"/>
      <c r="AO22" s="38" t="s">
        <v>48</v>
      </c>
      <c r="AP22" s="40"/>
      <c r="AQ22" s="40"/>
      <c r="AR22" s="41" t="s">
        <v>49</v>
      </c>
      <c r="AS22" s="107" t="s">
        <v>50</v>
      </c>
      <c r="AT22" s="108" t="s">
        <v>51</v>
      </c>
      <c r="AU22" s="109"/>
      <c r="AV22" s="108" t="s">
        <v>52</v>
      </c>
      <c r="AW22" s="108"/>
      <c r="AX22" s="109"/>
      <c r="AY22" s="107" t="s">
        <v>53</v>
      </c>
      <c r="AZ22" s="110" t="s">
        <v>54</v>
      </c>
      <c r="BA22" s="109"/>
      <c r="BB22" s="187" t="s">
        <v>55</v>
      </c>
      <c r="BC22" s="36"/>
    </row>
    <row r="23" s="5" customFormat="1" ht="21" customHeight="1" spans="1:55">
      <c r="A23" s="42"/>
      <c r="B23" s="43" t="s">
        <v>56</v>
      </c>
      <c r="C23" s="44" t="s">
        <v>57</v>
      </c>
      <c r="D23" s="45"/>
      <c r="E23" s="46" t="s">
        <v>58</v>
      </c>
      <c r="F23" s="47"/>
      <c r="G23" s="47"/>
      <c r="H23" s="48" t="s">
        <v>49</v>
      </c>
      <c r="I23" s="111" t="s">
        <v>59</v>
      </c>
      <c r="J23" s="112"/>
      <c r="K23" s="113" t="s">
        <v>60</v>
      </c>
      <c r="L23" s="114"/>
      <c r="M23" s="115" t="s">
        <v>61</v>
      </c>
      <c r="N23" s="116"/>
      <c r="O23" s="117" t="s">
        <v>18</v>
      </c>
      <c r="P23" s="118" t="s">
        <v>54</v>
      </c>
      <c r="Q23" s="188"/>
      <c r="R23" s="189" t="s">
        <v>62</v>
      </c>
      <c r="S23" s="12"/>
      <c r="T23" s="43" t="str">
        <f>B23</f>
        <v>Item no</v>
      </c>
      <c r="U23" s="44" t="str">
        <f>C23</f>
        <v>Product Name or Service</v>
      </c>
      <c r="V23" s="45"/>
      <c r="W23" s="46" t="str">
        <f t="shared" ref="W23:AA23" si="3">E23</f>
        <v>Product Code</v>
      </c>
      <c r="X23" s="46"/>
      <c r="Y23" s="46"/>
      <c r="Z23" s="48" t="str">
        <f t="shared" si="3"/>
        <v>Unit</v>
      </c>
      <c r="AA23" s="119" t="str">
        <f t="shared" si="3"/>
        <v>Quantity</v>
      </c>
      <c r="AB23" s="218"/>
      <c r="AC23" s="113" t="str">
        <f>K23</f>
        <v>Unit Price USD</v>
      </c>
      <c r="AD23" s="219"/>
      <c r="AE23" s="115" t="str">
        <f>M23</f>
        <v>FOB Rev USD</v>
      </c>
      <c r="AF23" s="220"/>
      <c r="AG23" s="117" t="str">
        <f>O23</f>
        <v>FX Date</v>
      </c>
      <c r="AH23" s="118" t="str">
        <f>P23</f>
        <v>FX Rate</v>
      </c>
      <c r="AI23" s="238"/>
      <c r="AJ23" s="189" t="str">
        <f t="shared" ref="AJ23:AO23" si="4">R23</f>
        <v>FOB Rev THB</v>
      </c>
      <c r="AK23" s="12"/>
      <c r="AL23" s="239" t="str">
        <f t="shared" si="4"/>
        <v>Item no</v>
      </c>
      <c r="AM23" s="240" t="str">
        <f t="shared" si="4"/>
        <v>Product Name or Service</v>
      </c>
      <c r="AN23" s="241"/>
      <c r="AO23" s="260" t="str">
        <f t="shared" ref="AO23:AS23" si="5">W23</f>
        <v>Product Code</v>
      </c>
      <c r="AP23" s="49"/>
      <c r="AQ23" s="49"/>
      <c r="AR23" s="261" t="str">
        <f t="shared" si="5"/>
        <v>Unit</v>
      </c>
      <c r="AS23" s="119" t="str">
        <f t="shared" si="5"/>
        <v>Quantity</v>
      </c>
      <c r="AT23" s="49"/>
      <c r="AU23" s="113" t="str">
        <f>AC23</f>
        <v>Unit Price USD</v>
      </c>
      <c r="AV23" s="121"/>
      <c r="AW23" s="115" t="str">
        <f>AE23</f>
        <v>FOB Rev USD</v>
      </c>
      <c r="AX23" s="122"/>
      <c r="AY23" s="267" t="str">
        <f>AG23</f>
        <v>FX Date</v>
      </c>
      <c r="AZ23" s="242" t="str">
        <f>AH23</f>
        <v>FX Rate</v>
      </c>
      <c r="BA23" s="190"/>
      <c r="BB23" s="268" t="str">
        <f>AJ23</f>
        <v>FOB Rev THB</v>
      </c>
      <c r="BC23" s="12"/>
    </row>
    <row r="24" s="5" customFormat="1" ht="21.75" customHeight="1" spans="1:55">
      <c r="A24" s="42"/>
      <c r="B24" s="43" t="s">
        <v>56</v>
      </c>
      <c r="C24" s="44" t="s">
        <v>57</v>
      </c>
      <c r="D24" s="45"/>
      <c r="E24" s="49" t="s">
        <v>58</v>
      </c>
      <c r="F24" s="49"/>
      <c r="G24" s="49"/>
      <c r="H24" s="50" t="s">
        <v>49</v>
      </c>
      <c r="I24" s="119" t="s">
        <v>59</v>
      </c>
      <c r="J24" s="120"/>
      <c r="K24" s="113" t="s">
        <v>60</v>
      </c>
      <c r="L24" s="121"/>
      <c r="M24" s="115" t="s">
        <v>61</v>
      </c>
      <c r="N24" s="122"/>
      <c r="O24" s="117" t="s">
        <v>18</v>
      </c>
      <c r="P24" s="118" t="s">
        <v>54</v>
      </c>
      <c r="Q24" s="190"/>
      <c r="R24" s="189" t="s">
        <v>62</v>
      </c>
      <c r="S24" s="12"/>
      <c r="T24" s="43" t="str">
        <f t="shared" ref="T24:T40" si="6">B24</f>
        <v>Item no</v>
      </c>
      <c r="U24" s="44" t="str">
        <f t="shared" ref="U24:U40" si="7">C24</f>
        <v>Product Name or Service</v>
      </c>
      <c r="V24" s="45"/>
      <c r="W24" s="49" t="str">
        <f t="shared" ref="W24:W40" si="8">E24</f>
        <v>Product Code</v>
      </c>
      <c r="X24" s="49"/>
      <c r="Y24" s="49"/>
      <c r="Z24" s="50" t="str">
        <f t="shared" ref="Z24:Z40" si="9">H24</f>
        <v>Unit</v>
      </c>
      <c r="AA24" s="119" t="str">
        <f t="shared" ref="AA24:AA40" si="10">I24</f>
        <v>Quantity</v>
      </c>
      <c r="AB24" s="221"/>
      <c r="AC24" s="113" t="str">
        <f>K24</f>
        <v>Unit Price USD</v>
      </c>
      <c r="AD24" s="222"/>
      <c r="AE24" s="115" t="str">
        <f t="shared" ref="AE24:AE40" si="11">M24</f>
        <v>FOB Rev USD</v>
      </c>
      <c r="AF24" s="223"/>
      <c r="AG24" s="117" t="str">
        <f t="shared" ref="AG24:AG40" si="12">O24</f>
        <v>FX Date</v>
      </c>
      <c r="AH24" s="242" t="str">
        <f t="shared" ref="AH24:AH40" si="13">P24</f>
        <v>FX Rate</v>
      </c>
      <c r="AI24" s="243"/>
      <c r="AJ24" s="189" t="str">
        <f t="shared" ref="AJ24:AJ40" si="14">R24</f>
        <v>FOB Rev THB</v>
      </c>
      <c r="AK24" s="12"/>
      <c r="AL24" s="239" t="str">
        <f t="shared" ref="AL24:AL40" si="15">T24</f>
        <v>Item no</v>
      </c>
      <c r="AM24" s="240" t="str">
        <f t="shared" ref="AM24:AM40" si="16">U24</f>
        <v>Product Name or Service</v>
      </c>
      <c r="AN24" s="241"/>
      <c r="AO24" s="49" t="str">
        <f t="shared" ref="AO24:AO40" si="17">W24</f>
        <v>Product Code</v>
      </c>
      <c r="AP24" s="49"/>
      <c r="AQ24" s="49"/>
      <c r="AR24" s="50" t="str">
        <f t="shared" ref="AR24:AR40" si="18">Z24</f>
        <v>Unit</v>
      </c>
      <c r="AS24" s="119" t="str">
        <f t="shared" ref="AS24:AS40" si="19">AA24</f>
        <v>Quantity</v>
      </c>
      <c r="AT24" s="49"/>
      <c r="AU24" s="113" t="str">
        <f>AC24</f>
        <v>Unit Price USD</v>
      </c>
      <c r="AV24" s="121"/>
      <c r="AW24" s="115" t="str">
        <f t="shared" ref="AW24:AW40" si="20">AE24</f>
        <v>FOB Rev USD</v>
      </c>
      <c r="AX24" s="122"/>
      <c r="AY24" s="267" t="str">
        <f t="shared" ref="AY24:AY40" si="21">AG24</f>
        <v>FX Date</v>
      </c>
      <c r="AZ24" s="242" t="str">
        <f t="shared" ref="AZ24:AZ40" si="22">AH24</f>
        <v>FX Rate</v>
      </c>
      <c r="BA24" s="190"/>
      <c r="BB24" s="268" t="str">
        <f t="shared" ref="BB24:BB40" si="23">AJ24</f>
        <v>FOB Rev THB</v>
      </c>
      <c r="BC24" s="12"/>
    </row>
    <row r="25" s="5" customFormat="1" ht="21.75" customHeight="1" spans="1:55">
      <c r="A25" s="42"/>
      <c r="B25" s="43" t="s">
        <v>56</v>
      </c>
      <c r="C25" s="44" t="s">
        <v>57</v>
      </c>
      <c r="D25" s="45"/>
      <c r="E25" s="51" t="s">
        <v>58</v>
      </c>
      <c r="F25" s="51"/>
      <c r="G25" s="51"/>
      <c r="H25" s="50" t="s">
        <v>49</v>
      </c>
      <c r="I25" s="119" t="s">
        <v>59</v>
      </c>
      <c r="J25" s="49"/>
      <c r="K25" s="113" t="s">
        <v>60</v>
      </c>
      <c r="L25" s="121"/>
      <c r="M25" s="115" t="s">
        <v>61</v>
      </c>
      <c r="N25" s="122"/>
      <c r="O25" s="117" t="s">
        <v>18</v>
      </c>
      <c r="P25" s="118" t="s">
        <v>54</v>
      </c>
      <c r="Q25" s="190"/>
      <c r="R25" s="189" t="s">
        <v>62</v>
      </c>
      <c r="S25" s="12"/>
      <c r="T25" s="43" t="str">
        <f t="shared" si="6"/>
        <v>Item no</v>
      </c>
      <c r="U25" s="44" t="str">
        <f t="shared" si="7"/>
        <v>Product Name or Service</v>
      </c>
      <c r="V25" s="45"/>
      <c r="W25" s="51" t="str">
        <f t="shared" si="8"/>
        <v>Product Code</v>
      </c>
      <c r="X25" s="51"/>
      <c r="Y25" s="51"/>
      <c r="Z25" s="50" t="str">
        <f t="shared" si="9"/>
        <v>Unit</v>
      </c>
      <c r="AA25" s="119" t="str">
        <f t="shared" si="10"/>
        <v>Quantity</v>
      </c>
      <c r="AB25" s="51"/>
      <c r="AC25" s="113" t="str">
        <f t="shared" ref="AC24:AC40" si="24">K25</f>
        <v>Unit Price USD</v>
      </c>
      <c r="AD25" s="222"/>
      <c r="AE25" s="224" t="str">
        <f t="shared" si="11"/>
        <v>FOB Rev USD</v>
      </c>
      <c r="AF25" s="223"/>
      <c r="AG25" s="244" t="str">
        <f t="shared" si="12"/>
        <v>FX Date</v>
      </c>
      <c r="AH25" s="242" t="str">
        <f t="shared" si="13"/>
        <v>FX Rate</v>
      </c>
      <c r="AI25" s="243"/>
      <c r="AJ25" s="189" t="str">
        <f t="shared" si="14"/>
        <v>FOB Rev THB</v>
      </c>
      <c r="AK25" s="12"/>
      <c r="AL25" s="239" t="str">
        <f t="shared" si="15"/>
        <v>Item no</v>
      </c>
      <c r="AM25" s="240" t="str">
        <f t="shared" si="16"/>
        <v>Product Name or Service</v>
      </c>
      <c r="AN25" s="241"/>
      <c r="AO25" s="51" t="str">
        <f t="shared" si="17"/>
        <v>Product Code</v>
      </c>
      <c r="AP25" s="51"/>
      <c r="AQ25" s="51"/>
      <c r="AR25" s="50" t="str">
        <f t="shared" si="18"/>
        <v>Unit</v>
      </c>
      <c r="AS25" s="119" t="str">
        <f t="shared" si="19"/>
        <v>Quantity</v>
      </c>
      <c r="AT25" s="49"/>
      <c r="AU25" s="113" t="str">
        <f t="shared" ref="AU24:AU40" si="25">AC25</f>
        <v>Unit Price USD</v>
      </c>
      <c r="AV25" s="121"/>
      <c r="AW25" s="224" t="str">
        <f t="shared" si="20"/>
        <v>FOB Rev USD</v>
      </c>
      <c r="AX25" s="122"/>
      <c r="AY25" s="244" t="str">
        <f t="shared" si="21"/>
        <v>FX Date</v>
      </c>
      <c r="AZ25" s="242" t="str">
        <f t="shared" si="22"/>
        <v>FX Rate</v>
      </c>
      <c r="BA25" s="190"/>
      <c r="BB25" s="268" t="str">
        <f t="shared" si="23"/>
        <v>FOB Rev THB</v>
      </c>
      <c r="BC25" s="12"/>
    </row>
    <row r="26" s="5" customFormat="1" ht="21.75" customHeight="1" spans="1:55">
      <c r="A26" s="42"/>
      <c r="B26" s="43" t="s">
        <v>56</v>
      </c>
      <c r="C26" s="44" t="s">
        <v>57</v>
      </c>
      <c r="D26" s="45"/>
      <c r="E26" s="51" t="s">
        <v>58</v>
      </c>
      <c r="F26" s="51"/>
      <c r="G26" s="51"/>
      <c r="H26" s="50" t="s">
        <v>49</v>
      </c>
      <c r="I26" s="119" t="s">
        <v>59</v>
      </c>
      <c r="J26" s="49"/>
      <c r="K26" s="113" t="s">
        <v>60</v>
      </c>
      <c r="L26" s="121"/>
      <c r="M26" s="115" t="s">
        <v>61</v>
      </c>
      <c r="N26" s="122"/>
      <c r="O26" s="117" t="s">
        <v>18</v>
      </c>
      <c r="P26" s="118" t="s">
        <v>54</v>
      </c>
      <c r="Q26" s="190"/>
      <c r="R26" s="189" t="s">
        <v>62</v>
      </c>
      <c r="S26" s="12"/>
      <c r="T26" s="43" t="str">
        <f t="shared" si="6"/>
        <v>Item no</v>
      </c>
      <c r="U26" s="44" t="str">
        <f t="shared" si="7"/>
        <v>Product Name or Service</v>
      </c>
      <c r="V26" s="45"/>
      <c r="W26" s="51" t="str">
        <f t="shared" si="8"/>
        <v>Product Code</v>
      </c>
      <c r="X26" s="51"/>
      <c r="Y26" s="51"/>
      <c r="Z26" s="50" t="str">
        <f t="shared" si="9"/>
        <v>Unit</v>
      </c>
      <c r="AA26" s="119" t="str">
        <f t="shared" si="10"/>
        <v>Quantity</v>
      </c>
      <c r="AB26" s="51"/>
      <c r="AC26" s="113" t="str">
        <f t="shared" si="24"/>
        <v>Unit Price USD</v>
      </c>
      <c r="AD26" s="222"/>
      <c r="AE26" s="224" t="str">
        <f t="shared" si="11"/>
        <v>FOB Rev USD</v>
      </c>
      <c r="AF26" s="223"/>
      <c r="AG26" s="244" t="str">
        <f t="shared" si="12"/>
        <v>FX Date</v>
      </c>
      <c r="AH26" s="242" t="str">
        <f t="shared" si="13"/>
        <v>FX Rate</v>
      </c>
      <c r="AI26" s="243"/>
      <c r="AJ26" s="189" t="str">
        <f t="shared" si="14"/>
        <v>FOB Rev THB</v>
      </c>
      <c r="AK26" s="12"/>
      <c r="AL26" s="239" t="str">
        <f t="shared" si="15"/>
        <v>Item no</v>
      </c>
      <c r="AM26" s="240" t="str">
        <f t="shared" si="16"/>
        <v>Product Name or Service</v>
      </c>
      <c r="AN26" s="241"/>
      <c r="AO26" s="51" t="str">
        <f t="shared" si="17"/>
        <v>Product Code</v>
      </c>
      <c r="AP26" s="51"/>
      <c r="AQ26" s="51"/>
      <c r="AR26" s="50" t="str">
        <f t="shared" si="18"/>
        <v>Unit</v>
      </c>
      <c r="AS26" s="119" t="str">
        <f t="shared" si="19"/>
        <v>Quantity</v>
      </c>
      <c r="AT26" s="49"/>
      <c r="AU26" s="113" t="str">
        <f t="shared" si="25"/>
        <v>Unit Price USD</v>
      </c>
      <c r="AV26" s="121"/>
      <c r="AW26" s="224" t="str">
        <f t="shared" si="20"/>
        <v>FOB Rev USD</v>
      </c>
      <c r="AX26" s="122"/>
      <c r="AY26" s="244" t="str">
        <f t="shared" si="21"/>
        <v>FX Date</v>
      </c>
      <c r="AZ26" s="242" t="str">
        <f t="shared" si="22"/>
        <v>FX Rate</v>
      </c>
      <c r="BA26" s="190"/>
      <c r="BB26" s="268" t="str">
        <f t="shared" si="23"/>
        <v>FOB Rev THB</v>
      </c>
      <c r="BC26" s="12"/>
    </row>
    <row r="27" s="5" customFormat="1" ht="21.75" customHeight="1" spans="1:55">
      <c r="A27" s="42"/>
      <c r="B27" s="43" t="s">
        <v>56</v>
      </c>
      <c r="C27" s="44" t="s">
        <v>57</v>
      </c>
      <c r="D27" s="45"/>
      <c r="E27" s="51" t="s">
        <v>58</v>
      </c>
      <c r="F27" s="51"/>
      <c r="G27" s="51"/>
      <c r="H27" s="50" t="s">
        <v>49</v>
      </c>
      <c r="I27" s="119" t="s">
        <v>59</v>
      </c>
      <c r="J27" s="49"/>
      <c r="K27" s="113" t="s">
        <v>60</v>
      </c>
      <c r="L27" s="121"/>
      <c r="M27" s="115" t="s">
        <v>61</v>
      </c>
      <c r="N27" s="122"/>
      <c r="O27" s="117" t="s">
        <v>18</v>
      </c>
      <c r="P27" s="118" t="s">
        <v>54</v>
      </c>
      <c r="Q27" s="190"/>
      <c r="R27" s="189" t="s">
        <v>62</v>
      </c>
      <c r="S27" s="12"/>
      <c r="T27" s="43" t="str">
        <f t="shared" si="6"/>
        <v>Item no</v>
      </c>
      <c r="U27" s="44" t="str">
        <f t="shared" si="7"/>
        <v>Product Name or Service</v>
      </c>
      <c r="V27" s="45"/>
      <c r="W27" s="51" t="str">
        <f t="shared" si="8"/>
        <v>Product Code</v>
      </c>
      <c r="X27" s="51"/>
      <c r="Y27" s="51"/>
      <c r="Z27" s="50" t="str">
        <f t="shared" si="9"/>
        <v>Unit</v>
      </c>
      <c r="AA27" s="119" t="str">
        <f t="shared" si="10"/>
        <v>Quantity</v>
      </c>
      <c r="AB27" s="51"/>
      <c r="AC27" s="113" t="str">
        <f t="shared" si="24"/>
        <v>Unit Price USD</v>
      </c>
      <c r="AD27" s="222"/>
      <c r="AE27" s="224" t="str">
        <f t="shared" si="11"/>
        <v>FOB Rev USD</v>
      </c>
      <c r="AF27" s="223"/>
      <c r="AG27" s="244" t="str">
        <f t="shared" si="12"/>
        <v>FX Date</v>
      </c>
      <c r="AH27" s="242" t="str">
        <f t="shared" si="13"/>
        <v>FX Rate</v>
      </c>
      <c r="AI27" s="243"/>
      <c r="AJ27" s="189" t="str">
        <f t="shared" si="14"/>
        <v>FOB Rev THB</v>
      </c>
      <c r="AK27" s="12"/>
      <c r="AL27" s="239" t="str">
        <f t="shared" si="15"/>
        <v>Item no</v>
      </c>
      <c r="AM27" s="240" t="str">
        <f t="shared" si="16"/>
        <v>Product Name or Service</v>
      </c>
      <c r="AN27" s="241"/>
      <c r="AO27" s="51" t="str">
        <f t="shared" si="17"/>
        <v>Product Code</v>
      </c>
      <c r="AP27" s="51"/>
      <c r="AQ27" s="51"/>
      <c r="AR27" s="50" t="str">
        <f t="shared" si="18"/>
        <v>Unit</v>
      </c>
      <c r="AS27" s="119" t="str">
        <f t="shared" si="19"/>
        <v>Quantity</v>
      </c>
      <c r="AT27" s="49"/>
      <c r="AU27" s="113" t="str">
        <f t="shared" si="25"/>
        <v>Unit Price USD</v>
      </c>
      <c r="AV27" s="121"/>
      <c r="AW27" s="224" t="str">
        <f t="shared" si="20"/>
        <v>FOB Rev USD</v>
      </c>
      <c r="AX27" s="122"/>
      <c r="AY27" s="244" t="str">
        <f t="shared" si="21"/>
        <v>FX Date</v>
      </c>
      <c r="AZ27" s="242" t="str">
        <f t="shared" si="22"/>
        <v>FX Rate</v>
      </c>
      <c r="BA27" s="190"/>
      <c r="BB27" s="268" t="str">
        <f t="shared" si="23"/>
        <v>FOB Rev THB</v>
      </c>
      <c r="BC27" s="12"/>
    </row>
    <row r="28" s="5" customFormat="1" ht="21.75" customHeight="1" spans="1:55">
      <c r="A28" s="42"/>
      <c r="B28" s="43" t="s">
        <v>56</v>
      </c>
      <c r="C28" s="44" t="s">
        <v>57</v>
      </c>
      <c r="D28" s="45"/>
      <c r="E28" s="51" t="s">
        <v>58</v>
      </c>
      <c r="F28" s="51"/>
      <c r="G28" s="51"/>
      <c r="H28" s="50" t="s">
        <v>49</v>
      </c>
      <c r="I28" s="119" t="s">
        <v>59</v>
      </c>
      <c r="J28" s="49"/>
      <c r="K28" s="113" t="s">
        <v>60</v>
      </c>
      <c r="L28" s="121"/>
      <c r="M28" s="115" t="s">
        <v>61</v>
      </c>
      <c r="N28" s="122"/>
      <c r="O28" s="117" t="s">
        <v>18</v>
      </c>
      <c r="P28" s="118" t="s">
        <v>54</v>
      </c>
      <c r="Q28" s="190"/>
      <c r="R28" s="189" t="s">
        <v>62</v>
      </c>
      <c r="S28" s="12"/>
      <c r="T28" s="43" t="str">
        <f t="shared" si="6"/>
        <v>Item no</v>
      </c>
      <c r="U28" s="44" t="str">
        <f t="shared" si="7"/>
        <v>Product Name or Service</v>
      </c>
      <c r="V28" s="45"/>
      <c r="W28" s="51" t="str">
        <f t="shared" si="8"/>
        <v>Product Code</v>
      </c>
      <c r="X28" s="51"/>
      <c r="Y28" s="51"/>
      <c r="Z28" s="50" t="str">
        <f t="shared" si="9"/>
        <v>Unit</v>
      </c>
      <c r="AA28" s="119" t="str">
        <f t="shared" si="10"/>
        <v>Quantity</v>
      </c>
      <c r="AB28" s="51"/>
      <c r="AC28" s="113" t="str">
        <f t="shared" si="24"/>
        <v>Unit Price USD</v>
      </c>
      <c r="AD28" s="222"/>
      <c r="AE28" s="224" t="str">
        <f t="shared" si="11"/>
        <v>FOB Rev USD</v>
      </c>
      <c r="AF28" s="223"/>
      <c r="AG28" s="244" t="str">
        <f t="shared" si="12"/>
        <v>FX Date</v>
      </c>
      <c r="AH28" s="242" t="str">
        <f t="shared" si="13"/>
        <v>FX Rate</v>
      </c>
      <c r="AI28" s="243"/>
      <c r="AJ28" s="189" t="str">
        <f t="shared" si="14"/>
        <v>FOB Rev THB</v>
      </c>
      <c r="AK28" s="12"/>
      <c r="AL28" s="239" t="str">
        <f t="shared" si="15"/>
        <v>Item no</v>
      </c>
      <c r="AM28" s="240" t="str">
        <f t="shared" si="16"/>
        <v>Product Name or Service</v>
      </c>
      <c r="AN28" s="241"/>
      <c r="AO28" s="51" t="str">
        <f t="shared" si="17"/>
        <v>Product Code</v>
      </c>
      <c r="AP28" s="51"/>
      <c r="AQ28" s="51"/>
      <c r="AR28" s="50" t="str">
        <f t="shared" si="18"/>
        <v>Unit</v>
      </c>
      <c r="AS28" s="119" t="str">
        <f t="shared" si="19"/>
        <v>Quantity</v>
      </c>
      <c r="AT28" s="49"/>
      <c r="AU28" s="113" t="str">
        <f t="shared" si="25"/>
        <v>Unit Price USD</v>
      </c>
      <c r="AV28" s="121"/>
      <c r="AW28" s="224" t="str">
        <f t="shared" si="20"/>
        <v>FOB Rev USD</v>
      </c>
      <c r="AX28" s="122"/>
      <c r="AY28" s="244" t="str">
        <f t="shared" si="21"/>
        <v>FX Date</v>
      </c>
      <c r="AZ28" s="242" t="str">
        <f t="shared" si="22"/>
        <v>FX Rate</v>
      </c>
      <c r="BA28" s="190"/>
      <c r="BB28" s="268" t="str">
        <f t="shared" si="23"/>
        <v>FOB Rev THB</v>
      </c>
      <c r="BC28" s="12"/>
    </row>
    <row r="29" s="5" customFormat="1" ht="21.75" customHeight="1" spans="1:55">
      <c r="A29" s="42"/>
      <c r="B29" s="43" t="s">
        <v>56</v>
      </c>
      <c r="C29" s="44" t="s">
        <v>57</v>
      </c>
      <c r="D29" s="45"/>
      <c r="E29" s="51" t="s">
        <v>58</v>
      </c>
      <c r="F29" s="51"/>
      <c r="G29" s="51"/>
      <c r="H29" s="50" t="s">
        <v>49</v>
      </c>
      <c r="I29" s="119" t="s">
        <v>59</v>
      </c>
      <c r="J29" s="49"/>
      <c r="K29" s="113" t="s">
        <v>60</v>
      </c>
      <c r="L29" s="121"/>
      <c r="M29" s="115" t="s">
        <v>61</v>
      </c>
      <c r="N29" s="122"/>
      <c r="O29" s="117" t="s">
        <v>18</v>
      </c>
      <c r="P29" s="118" t="s">
        <v>54</v>
      </c>
      <c r="Q29" s="190"/>
      <c r="R29" s="189" t="s">
        <v>62</v>
      </c>
      <c r="S29" s="12"/>
      <c r="T29" s="43" t="str">
        <f t="shared" si="6"/>
        <v>Item no</v>
      </c>
      <c r="U29" s="44" t="str">
        <f t="shared" si="7"/>
        <v>Product Name or Service</v>
      </c>
      <c r="V29" s="45"/>
      <c r="W29" s="51" t="str">
        <f t="shared" si="8"/>
        <v>Product Code</v>
      </c>
      <c r="X29" s="51"/>
      <c r="Y29" s="51"/>
      <c r="Z29" s="50" t="str">
        <f t="shared" si="9"/>
        <v>Unit</v>
      </c>
      <c r="AA29" s="119" t="str">
        <f t="shared" si="10"/>
        <v>Quantity</v>
      </c>
      <c r="AB29" s="51"/>
      <c r="AC29" s="113" t="str">
        <f t="shared" si="24"/>
        <v>Unit Price USD</v>
      </c>
      <c r="AD29" s="222"/>
      <c r="AE29" s="224" t="str">
        <f t="shared" si="11"/>
        <v>FOB Rev USD</v>
      </c>
      <c r="AF29" s="223"/>
      <c r="AG29" s="244" t="str">
        <f t="shared" si="12"/>
        <v>FX Date</v>
      </c>
      <c r="AH29" s="242" t="str">
        <f t="shared" si="13"/>
        <v>FX Rate</v>
      </c>
      <c r="AI29" s="243"/>
      <c r="AJ29" s="189" t="str">
        <f t="shared" si="14"/>
        <v>FOB Rev THB</v>
      </c>
      <c r="AK29" s="12"/>
      <c r="AL29" s="239" t="str">
        <f t="shared" si="15"/>
        <v>Item no</v>
      </c>
      <c r="AM29" s="240" t="str">
        <f t="shared" si="16"/>
        <v>Product Name or Service</v>
      </c>
      <c r="AN29" s="241"/>
      <c r="AO29" s="51" t="str">
        <f t="shared" si="17"/>
        <v>Product Code</v>
      </c>
      <c r="AP29" s="51"/>
      <c r="AQ29" s="51"/>
      <c r="AR29" s="50" t="str">
        <f t="shared" si="18"/>
        <v>Unit</v>
      </c>
      <c r="AS29" s="119" t="str">
        <f t="shared" si="19"/>
        <v>Quantity</v>
      </c>
      <c r="AT29" s="49"/>
      <c r="AU29" s="113" t="str">
        <f t="shared" si="25"/>
        <v>Unit Price USD</v>
      </c>
      <c r="AV29" s="121"/>
      <c r="AW29" s="224" t="str">
        <f t="shared" si="20"/>
        <v>FOB Rev USD</v>
      </c>
      <c r="AX29" s="122"/>
      <c r="AY29" s="244" t="str">
        <f t="shared" si="21"/>
        <v>FX Date</v>
      </c>
      <c r="AZ29" s="242" t="str">
        <f t="shared" si="22"/>
        <v>FX Rate</v>
      </c>
      <c r="BA29" s="190"/>
      <c r="BB29" s="268" t="str">
        <f t="shared" si="23"/>
        <v>FOB Rev THB</v>
      </c>
      <c r="BC29" s="12"/>
    </row>
    <row r="30" s="6" customFormat="1" ht="21.75" customHeight="1" spans="1:55">
      <c r="A30" s="52"/>
      <c r="B30" s="43" t="s">
        <v>56</v>
      </c>
      <c r="C30" s="44" t="s">
        <v>57</v>
      </c>
      <c r="D30" s="45"/>
      <c r="E30" s="53" t="s">
        <v>58</v>
      </c>
      <c r="F30" s="53"/>
      <c r="G30" s="53"/>
      <c r="H30" s="54" t="s">
        <v>49</v>
      </c>
      <c r="I30" s="119" t="s">
        <v>59</v>
      </c>
      <c r="J30" s="123"/>
      <c r="K30" s="113" t="s">
        <v>60</v>
      </c>
      <c r="L30" s="124"/>
      <c r="M30" s="115" t="s">
        <v>61</v>
      </c>
      <c r="N30" s="125"/>
      <c r="O30" s="117" t="s">
        <v>18</v>
      </c>
      <c r="P30" s="118" t="s">
        <v>54</v>
      </c>
      <c r="Q30" s="191"/>
      <c r="R30" s="189" t="s">
        <v>62</v>
      </c>
      <c r="S30" s="192"/>
      <c r="T30" s="43" t="str">
        <f t="shared" si="6"/>
        <v>Item no</v>
      </c>
      <c r="U30" s="44" t="str">
        <f t="shared" si="7"/>
        <v>Product Name or Service</v>
      </c>
      <c r="V30" s="45"/>
      <c r="W30" s="53" t="str">
        <f t="shared" si="8"/>
        <v>Product Code</v>
      </c>
      <c r="X30" s="53"/>
      <c r="Y30" s="53"/>
      <c r="Z30" s="54" t="str">
        <f t="shared" si="9"/>
        <v>Unit</v>
      </c>
      <c r="AA30" s="119" t="str">
        <f t="shared" si="10"/>
        <v>Quantity</v>
      </c>
      <c r="AB30" s="53"/>
      <c r="AC30" s="113" t="str">
        <f t="shared" si="24"/>
        <v>Unit Price USD</v>
      </c>
      <c r="AD30" s="225"/>
      <c r="AE30" s="224" t="str">
        <f t="shared" si="11"/>
        <v>FOB Rev USD</v>
      </c>
      <c r="AF30" s="226"/>
      <c r="AG30" s="244" t="str">
        <f t="shared" si="12"/>
        <v>FX Date</v>
      </c>
      <c r="AH30" s="242" t="str">
        <f t="shared" si="13"/>
        <v>FX Rate</v>
      </c>
      <c r="AI30" s="243"/>
      <c r="AJ30" s="189" t="str">
        <f t="shared" si="14"/>
        <v>FOB Rev THB</v>
      </c>
      <c r="AK30" s="192"/>
      <c r="AL30" s="239" t="str">
        <f t="shared" si="15"/>
        <v>Item no</v>
      </c>
      <c r="AM30" s="240" t="str">
        <f t="shared" si="16"/>
        <v>Product Name or Service</v>
      </c>
      <c r="AN30" s="241"/>
      <c r="AO30" s="53" t="str">
        <f t="shared" si="17"/>
        <v>Product Code</v>
      </c>
      <c r="AP30" s="53"/>
      <c r="AQ30" s="53"/>
      <c r="AR30" s="54" t="str">
        <f t="shared" si="18"/>
        <v>Unit</v>
      </c>
      <c r="AS30" s="119" t="str">
        <f t="shared" si="19"/>
        <v>Quantity</v>
      </c>
      <c r="AT30" s="121"/>
      <c r="AU30" s="113" t="str">
        <f t="shared" si="25"/>
        <v>Unit Price USD</v>
      </c>
      <c r="AV30" s="262"/>
      <c r="AW30" s="224" t="str">
        <f t="shared" si="20"/>
        <v>FOB Rev USD</v>
      </c>
      <c r="AX30" s="269"/>
      <c r="AY30" s="244" t="str">
        <f t="shared" si="21"/>
        <v>FX Date</v>
      </c>
      <c r="AZ30" s="242" t="str">
        <f t="shared" si="22"/>
        <v>FX Rate</v>
      </c>
      <c r="BA30" s="190"/>
      <c r="BB30" s="268" t="str">
        <f t="shared" si="23"/>
        <v>FOB Rev THB</v>
      </c>
      <c r="BC30" s="192"/>
    </row>
    <row r="31" s="6" customFormat="1" ht="21" customHeight="1" spans="1:55">
      <c r="A31" s="52"/>
      <c r="B31" s="43" t="s">
        <v>56</v>
      </c>
      <c r="C31" s="44" t="s">
        <v>57</v>
      </c>
      <c r="D31" s="45"/>
      <c r="E31" s="53" t="s">
        <v>58</v>
      </c>
      <c r="F31" s="53"/>
      <c r="G31" s="53"/>
      <c r="H31" s="54" t="s">
        <v>49</v>
      </c>
      <c r="I31" s="119" t="s">
        <v>59</v>
      </c>
      <c r="J31" s="123"/>
      <c r="K31" s="113" t="s">
        <v>60</v>
      </c>
      <c r="L31" s="124"/>
      <c r="M31" s="115" t="s">
        <v>61</v>
      </c>
      <c r="N31" s="125"/>
      <c r="O31" s="117" t="s">
        <v>18</v>
      </c>
      <c r="P31" s="118" t="s">
        <v>54</v>
      </c>
      <c r="Q31" s="191"/>
      <c r="R31" s="189" t="s">
        <v>62</v>
      </c>
      <c r="S31" s="192"/>
      <c r="T31" s="43" t="str">
        <f t="shared" si="6"/>
        <v>Item no</v>
      </c>
      <c r="U31" s="44" t="str">
        <f t="shared" si="7"/>
        <v>Product Name or Service</v>
      </c>
      <c r="V31" s="45"/>
      <c r="W31" s="53" t="str">
        <f t="shared" si="8"/>
        <v>Product Code</v>
      </c>
      <c r="X31" s="53"/>
      <c r="Y31" s="53"/>
      <c r="Z31" s="54" t="str">
        <f t="shared" si="9"/>
        <v>Unit</v>
      </c>
      <c r="AA31" s="119" t="str">
        <f t="shared" si="10"/>
        <v>Quantity</v>
      </c>
      <c r="AB31" s="53"/>
      <c r="AC31" s="113" t="str">
        <f t="shared" si="24"/>
        <v>Unit Price USD</v>
      </c>
      <c r="AD31" s="225"/>
      <c r="AE31" s="224" t="str">
        <f t="shared" si="11"/>
        <v>FOB Rev USD</v>
      </c>
      <c r="AF31" s="226"/>
      <c r="AG31" s="244" t="str">
        <f t="shared" si="12"/>
        <v>FX Date</v>
      </c>
      <c r="AH31" s="242" t="str">
        <f t="shared" si="13"/>
        <v>FX Rate</v>
      </c>
      <c r="AI31" s="243"/>
      <c r="AJ31" s="189" t="str">
        <f t="shared" si="14"/>
        <v>FOB Rev THB</v>
      </c>
      <c r="AK31" s="192"/>
      <c r="AL31" s="239" t="str">
        <f t="shared" si="15"/>
        <v>Item no</v>
      </c>
      <c r="AM31" s="240" t="str">
        <f t="shared" si="16"/>
        <v>Product Name or Service</v>
      </c>
      <c r="AN31" s="241"/>
      <c r="AO31" s="53" t="str">
        <f t="shared" si="17"/>
        <v>Product Code</v>
      </c>
      <c r="AP31" s="53"/>
      <c r="AQ31" s="53"/>
      <c r="AR31" s="54" t="str">
        <f t="shared" si="18"/>
        <v>Unit</v>
      </c>
      <c r="AS31" s="119" t="str">
        <f t="shared" si="19"/>
        <v>Quantity</v>
      </c>
      <c r="AT31" s="121"/>
      <c r="AU31" s="113" t="str">
        <f t="shared" si="25"/>
        <v>Unit Price USD</v>
      </c>
      <c r="AV31" s="262"/>
      <c r="AW31" s="224" t="str">
        <f t="shared" si="20"/>
        <v>FOB Rev USD</v>
      </c>
      <c r="AX31" s="269"/>
      <c r="AY31" s="244" t="str">
        <f t="shared" si="21"/>
        <v>FX Date</v>
      </c>
      <c r="AZ31" s="242" t="str">
        <f t="shared" si="22"/>
        <v>FX Rate</v>
      </c>
      <c r="BA31" s="190"/>
      <c r="BB31" s="268" t="str">
        <f t="shared" si="23"/>
        <v>FOB Rev THB</v>
      </c>
      <c r="BC31" s="192"/>
    </row>
    <row r="32" s="6" customFormat="1" ht="21.75" customHeight="1" spans="1:55">
      <c r="A32" s="52"/>
      <c r="B32" s="43" t="s">
        <v>56</v>
      </c>
      <c r="C32" s="44" t="s">
        <v>57</v>
      </c>
      <c r="D32" s="45"/>
      <c r="E32" s="53" t="s">
        <v>58</v>
      </c>
      <c r="F32" s="53"/>
      <c r="G32" s="53"/>
      <c r="H32" s="54" t="s">
        <v>49</v>
      </c>
      <c r="I32" s="119" t="s">
        <v>59</v>
      </c>
      <c r="J32" s="123"/>
      <c r="K32" s="113" t="s">
        <v>60</v>
      </c>
      <c r="L32" s="124"/>
      <c r="M32" s="115" t="s">
        <v>61</v>
      </c>
      <c r="N32" s="125"/>
      <c r="O32" s="117" t="s">
        <v>18</v>
      </c>
      <c r="P32" s="118" t="s">
        <v>54</v>
      </c>
      <c r="Q32" s="191"/>
      <c r="R32" s="189" t="s">
        <v>62</v>
      </c>
      <c r="S32" s="192"/>
      <c r="T32" s="43" t="str">
        <f t="shared" si="6"/>
        <v>Item no</v>
      </c>
      <c r="U32" s="44" t="str">
        <f t="shared" si="7"/>
        <v>Product Name or Service</v>
      </c>
      <c r="V32" s="45"/>
      <c r="W32" s="53" t="str">
        <f t="shared" si="8"/>
        <v>Product Code</v>
      </c>
      <c r="X32" s="53"/>
      <c r="Y32" s="53"/>
      <c r="Z32" s="54" t="str">
        <f t="shared" si="9"/>
        <v>Unit</v>
      </c>
      <c r="AA32" s="119" t="str">
        <f t="shared" si="10"/>
        <v>Quantity</v>
      </c>
      <c r="AB32" s="53"/>
      <c r="AC32" s="113" t="str">
        <f t="shared" si="24"/>
        <v>Unit Price USD</v>
      </c>
      <c r="AD32" s="225"/>
      <c r="AE32" s="224" t="str">
        <f t="shared" si="11"/>
        <v>FOB Rev USD</v>
      </c>
      <c r="AF32" s="226"/>
      <c r="AG32" s="244" t="str">
        <f t="shared" si="12"/>
        <v>FX Date</v>
      </c>
      <c r="AH32" s="242" t="str">
        <f t="shared" si="13"/>
        <v>FX Rate</v>
      </c>
      <c r="AI32" s="243"/>
      <c r="AJ32" s="189" t="str">
        <f t="shared" si="14"/>
        <v>FOB Rev THB</v>
      </c>
      <c r="AK32" s="192"/>
      <c r="AL32" s="239" t="str">
        <f t="shared" si="15"/>
        <v>Item no</v>
      </c>
      <c r="AM32" s="240" t="str">
        <f t="shared" si="16"/>
        <v>Product Name or Service</v>
      </c>
      <c r="AN32" s="241"/>
      <c r="AO32" s="53" t="str">
        <f t="shared" si="17"/>
        <v>Product Code</v>
      </c>
      <c r="AP32" s="53"/>
      <c r="AQ32" s="53"/>
      <c r="AR32" s="54" t="str">
        <f t="shared" si="18"/>
        <v>Unit</v>
      </c>
      <c r="AS32" s="119" t="str">
        <f t="shared" si="19"/>
        <v>Quantity</v>
      </c>
      <c r="AT32" s="121"/>
      <c r="AU32" s="113" t="str">
        <f t="shared" si="25"/>
        <v>Unit Price USD</v>
      </c>
      <c r="AV32" s="262"/>
      <c r="AW32" s="224" t="str">
        <f t="shared" si="20"/>
        <v>FOB Rev USD</v>
      </c>
      <c r="AX32" s="269"/>
      <c r="AY32" s="244" t="str">
        <f t="shared" si="21"/>
        <v>FX Date</v>
      </c>
      <c r="AZ32" s="242" t="str">
        <f t="shared" si="22"/>
        <v>FX Rate</v>
      </c>
      <c r="BA32" s="190"/>
      <c r="BB32" s="268" t="str">
        <f t="shared" si="23"/>
        <v>FOB Rev THB</v>
      </c>
      <c r="BC32" s="192"/>
    </row>
    <row r="33" s="6" customFormat="1" ht="21.75" customHeight="1" spans="1:55">
      <c r="A33" s="52"/>
      <c r="B33" s="43" t="s">
        <v>56</v>
      </c>
      <c r="C33" s="44" t="s">
        <v>57</v>
      </c>
      <c r="D33" s="45"/>
      <c r="E33" s="53" t="s">
        <v>58</v>
      </c>
      <c r="F33" s="53"/>
      <c r="G33" s="53"/>
      <c r="H33" s="54" t="s">
        <v>49</v>
      </c>
      <c r="I33" s="119" t="s">
        <v>59</v>
      </c>
      <c r="J33" s="123"/>
      <c r="K33" s="113" t="s">
        <v>60</v>
      </c>
      <c r="L33" s="124"/>
      <c r="M33" s="115" t="s">
        <v>61</v>
      </c>
      <c r="N33" s="125"/>
      <c r="O33" s="117" t="s">
        <v>18</v>
      </c>
      <c r="P33" s="118" t="s">
        <v>54</v>
      </c>
      <c r="Q33" s="191"/>
      <c r="R33" s="189" t="s">
        <v>62</v>
      </c>
      <c r="S33" s="192"/>
      <c r="T33" s="43" t="str">
        <f t="shared" si="6"/>
        <v>Item no</v>
      </c>
      <c r="U33" s="44" t="str">
        <f t="shared" si="7"/>
        <v>Product Name or Service</v>
      </c>
      <c r="V33" s="45"/>
      <c r="W33" s="53" t="str">
        <f t="shared" si="8"/>
        <v>Product Code</v>
      </c>
      <c r="X33" s="53"/>
      <c r="Y33" s="53"/>
      <c r="Z33" s="54" t="str">
        <f t="shared" si="9"/>
        <v>Unit</v>
      </c>
      <c r="AA33" s="119" t="str">
        <f t="shared" si="10"/>
        <v>Quantity</v>
      </c>
      <c r="AB33" s="53"/>
      <c r="AC33" s="113" t="str">
        <f t="shared" si="24"/>
        <v>Unit Price USD</v>
      </c>
      <c r="AD33" s="225"/>
      <c r="AE33" s="224" t="str">
        <f t="shared" si="11"/>
        <v>FOB Rev USD</v>
      </c>
      <c r="AF33" s="226"/>
      <c r="AG33" s="244" t="str">
        <f t="shared" si="12"/>
        <v>FX Date</v>
      </c>
      <c r="AH33" s="242" t="str">
        <f t="shared" si="13"/>
        <v>FX Rate</v>
      </c>
      <c r="AI33" s="243"/>
      <c r="AJ33" s="189" t="str">
        <f t="shared" si="14"/>
        <v>FOB Rev THB</v>
      </c>
      <c r="AK33" s="192"/>
      <c r="AL33" s="239" t="str">
        <f t="shared" si="15"/>
        <v>Item no</v>
      </c>
      <c r="AM33" s="240" t="str">
        <f t="shared" si="16"/>
        <v>Product Name or Service</v>
      </c>
      <c r="AN33" s="241"/>
      <c r="AO33" s="53" t="str">
        <f t="shared" si="17"/>
        <v>Product Code</v>
      </c>
      <c r="AP33" s="53"/>
      <c r="AQ33" s="53"/>
      <c r="AR33" s="54" t="str">
        <f t="shared" si="18"/>
        <v>Unit</v>
      </c>
      <c r="AS33" s="119" t="str">
        <f t="shared" si="19"/>
        <v>Quantity</v>
      </c>
      <c r="AT33" s="121"/>
      <c r="AU33" s="113" t="str">
        <f t="shared" si="25"/>
        <v>Unit Price USD</v>
      </c>
      <c r="AV33" s="262"/>
      <c r="AW33" s="224" t="str">
        <f t="shared" si="20"/>
        <v>FOB Rev USD</v>
      </c>
      <c r="AX33" s="269"/>
      <c r="AY33" s="244" t="str">
        <f t="shared" si="21"/>
        <v>FX Date</v>
      </c>
      <c r="AZ33" s="242" t="str">
        <f t="shared" si="22"/>
        <v>FX Rate</v>
      </c>
      <c r="BA33" s="190"/>
      <c r="BB33" s="268" t="str">
        <f t="shared" si="23"/>
        <v>FOB Rev THB</v>
      </c>
      <c r="BC33" s="192"/>
    </row>
    <row r="34" s="6" customFormat="1" ht="21.75" customHeight="1" spans="1:55">
      <c r="A34" s="52"/>
      <c r="B34" s="43" t="s">
        <v>56</v>
      </c>
      <c r="C34" s="44" t="s">
        <v>57</v>
      </c>
      <c r="D34" s="45"/>
      <c r="E34" s="53" t="s">
        <v>58</v>
      </c>
      <c r="F34" s="53"/>
      <c r="G34" s="53"/>
      <c r="H34" s="54" t="s">
        <v>49</v>
      </c>
      <c r="I34" s="119" t="s">
        <v>59</v>
      </c>
      <c r="J34" s="123"/>
      <c r="K34" s="113" t="s">
        <v>60</v>
      </c>
      <c r="L34" s="124"/>
      <c r="M34" s="115" t="s">
        <v>61</v>
      </c>
      <c r="N34" s="125"/>
      <c r="O34" s="117" t="s">
        <v>18</v>
      </c>
      <c r="P34" s="118" t="s">
        <v>54</v>
      </c>
      <c r="Q34" s="191"/>
      <c r="R34" s="189" t="s">
        <v>62</v>
      </c>
      <c r="S34" s="192"/>
      <c r="T34" s="43" t="str">
        <f t="shared" si="6"/>
        <v>Item no</v>
      </c>
      <c r="U34" s="44" t="str">
        <f t="shared" si="7"/>
        <v>Product Name or Service</v>
      </c>
      <c r="V34" s="45"/>
      <c r="W34" s="53" t="str">
        <f t="shared" si="8"/>
        <v>Product Code</v>
      </c>
      <c r="X34" s="53"/>
      <c r="Y34" s="53"/>
      <c r="Z34" s="54" t="str">
        <f t="shared" si="9"/>
        <v>Unit</v>
      </c>
      <c r="AA34" s="119" t="str">
        <f t="shared" si="10"/>
        <v>Quantity</v>
      </c>
      <c r="AB34" s="53"/>
      <c r="AC34" s="113" t="str">
        <f t="shared" si="24"/>
        <v>Unit Price USD</v>
      </c>
      <c r="AD34" s="225"/>
      <c r="AE34" s="224" t="str">
        <f t="shared" si="11"/>
        <v>FOB Rev USD</v>
      </c>
      <c r="AF34" s="226"/>
      <c r="AG34" s="244" t="str">
        <f t="shared" si="12"/>
        <v>FX Date</v>
      </c>
      <c r="AH34" s="242" t="str">
        <f t="shared" si="13"/>
        <v>FX Rate</v>
      </c>
      <c r="AI34" s="243"/>
      <c r="AJ34" s="189" t="str">
        <f t="shared" si="14"/>
        <v>FOB Rev THB</v>
      </c>
      <c r="AK34" s="192"/>
      <c r="AL34" s="239" t="str">
        <f t="shared" si="15"/>
        <v>Item no</v>
      </c>
      <c r="AM34" s="240" t="str">
        <f t="shared" si="16"/>
        <v>Product Name or Service</v>
      </c>
      <c r="AN34" s="241"/>
      <c r="AO34" s="53" t="str">
        <f t="shared" si="17"/>
        <v>Product Code</v>
      </c>
      <c r="AP34" s="53"/>
      <c r="AQ34" s="53"/>
      <c r="AR34" s="54" t="str">
        <f t="shared" si="18"/>
        <v>Unit</v>
      </c>
      <c r="AS34" s="119" t="str">
        <f t="shared" si="19"/>
        <v>Quantity</v>
      </c>
      <c r="AT34" s="121"/>
      <c r="AU34" s="113" t="str">
        <f t="shared" si="25"/>
        <v>Unit Price USD</v>
      </c>
      <c r="AV34" s="262"/>
      <c r="AW34" s="224" t="str">
        <f t="shared" si="20"/>
        <v>FOB Rev USD</v>
      </c>
      <c r="AX34" s="269"/>
      <c r="AY34" s="244" t="str">
        <f t="shared" si="21"/>
        <v>FX Date</v>
      </c>
      <c r="AZ34" s="242" t="str">
        <f t="shared" si="22"/>
        <v>FX Rate</v>
      </c>
      <c r="BA34" s="190"/>
      <c r="BB34" s="268" t="str">
        <f t="shared" si="23"/>
        <v>FOB Rev THB</v>
      </c>
      <c r="BC34" s="192"/>
    </row>
    <row r="35" s="6" customFormat="1" ht="21.75" customHeight="1" spans="1:55">
      <c r="A35" s="52"/>
      <c r="B35" s="43" t="s">
        <v>56</v>
      </c>
      <c r="C35" s="44" t="s">
        <v>57</v>
      </c>
      <c r="D35" s="45"/>
      <c r="E35" s="53" t="s">
        <v>58</v>
      </c>
      <c r="F35" s="53"/>
      <c r="G35" s="53"/>
      <c r="H35" s="54" t="s">
        <v>49</v>
      </c>
      <c r="I35" s="119" t="s">
        <v>59</v>
      </c>
      <c r="J35" s="123"/>
      <c r="K35" s="113" t="s">
        <v>60</v>
      </c>
      <c r="L35" s="124"/>
      <c r="M35" s="115" t="s">
        <v>61</v>
      </c>
      <c r="N35" s="125"/>
      <c r="O35" s="117" t="s">
        <v>18</v>
      </c>
      <c r="P35" s="118" t="s">
        <v>54</v>
      </c>
      <c r="Q35" s="191"/>
      <c r="R35" s="189" t="s">
        <v>62</v>
      </c>
      <c r="S35" s="192"/>
      <c r="T35" s="43" t="str">
        <f t="shared" si="6"/>
        <v>Item no</v>
      </c>
      <c r="U35" s="44" t="str">
        <f t="shared" si="7"/>
        <v>Product Name or Service</v>
      </c>
      <c r="V35" s="45"/>
      <c r="W35" s="53" t="str">
        <f t="shared" si="8"/>
        <v>Product Code</v>
      </c>
      <c r="X35" s="53"/>
      <c r="Y35" s="53"/>
      <c r="Z35" s="54" t="str">
        <f t="shared" si="9"/>
        <v>Unit</v>
      </c>
      <c r="AA35" s="119" t="str">
        <f t="shared" si="10"/>
        <v>Quantity</v>
      </c>
      <c r="AB35" s="53"/>
      <c r="AC35" s="113" t="str">
        <f t="shared" si="24"/>
        <v>Unit Price USD</v>
      </c>
      <c r="AD35" s="225"/>
      <c r="AE35" s="224" t="str">
        <f t="shared" si="11"/>
        <v>FOB Rev USD</v>
      </c>
      <c r="AF35" s="226"/>
      <c r="AG35" s="244" t="str">
        <f t="shared" si="12"/>
        <v>FX Date</v>
      </c>
      <c r="AH35" s="242" t="str">
        <f t="shared" si="13"/>
        <v>FX Rate</v>
      </c>
      <c r="AI35" s="243"/>
      <c r="AJ35" s="189" t="str">
        <f t="shared" si="14"/>
        <v>FOB Rev THB</v>
      </c>
      <c r="AK35" s="192"/>
      <c r="AL35" s="239" t="str">
        <f t="shared" si="15"/>
        <v>Item no</v>
      </c>
      <c r="AM35" s="240" t="str">
        <f t="shared" si="16"/>
        <v>Product Name or Service</v>
      </c>
      <c r="AN35" s="241"/>
      <c r="AO35" s="53" t="str">
        <f t="shared" si="17"/>
        <v>Product Code</v>
      </c>
      <c r="AP35" s="53"/>
      <c r="AQ35" s="53"/>
      <c r="AR35" s="54" t="str">
        <f t="shared" si="18"/>
        <v>Unit</v>
      </c>
      <c r="AS35" s="119" t="str">
        <f t="shared" si="19"/>
        <v>Quantity</v>
      </c>
      <c r="AT35" s="121"/>
      <c r="AU35" s="113" t="str">
        <f t="shared" si="25"/>
        <v>Unit Price USD</v>
      </c>
      <c r="AV35" s="262"/>
      <c r="AW35" s="224" t="str">
        <f t="shared" si="20"/>
        <v>FOB Rev USD</v>
      </c>
      <c r="AX35" s="269"/>
      <c r="AY35" s="244" t="str">
        <f t="shared" si="21"/>
        <v>FX Date</v>
      </c>
      <c r="AZ35" s="242" t="str">
        <f t="shared" si="22"/>
        <v>FX Rate</v>
      </c>
      <c r="BA35" s="190"/>
      <c r="BB35" s="268" t="str">
        <f t="shared" si="23"/>
        <v>FOB Rev THB</v>
      </c>
      <c r="BC35" s="192"/>
    </row>
    <row r="36" s="6" customFormat="1" ht="21.75" customHeight="1" spans="1:55">
      <c r="A36" s="52"/>
      <c r="B36" s="43" t="s">
        <v>56</v>
      </c>
      <c r="C36" s="44" t="s">
        <v>57</v>
      </c>
      <c r="D36" s="45"/>
      <c r="E36" s="53" t="s">
        <v>58</v>
      </c>
      <c r="F36" s="53"/>
      <c r="G36" s="53"/>
      <c r="H36" s="54" t="s">
        <v>49</v>
      </c>
      <c r="I36" s="119" t="s">
        <v>59</v>
      </c>
      <c r="J36" s="123"/>
      <c r="K36" s="113" t="s">
        <v>60</v>
      </c>
      <c r="L36" s="124"/>
      <c r="M36" s="115" t="s">
        <v>61</v>
      </c>
      <c r="N36" s="125"/>
      <c r="O36" s="117" t="s">
        <v>18</v>
      </c>
      <c r="P36" s="118" t="s">
        <v>54</v>
      </c>
      <c r="Q36" s="191"/>
      <c r="R36" s="189" t="s">
        <v>62</v>
      </c>
      <c r="S36" s="192"/>
      <c r="T36" s="43" t="str">
        <f t="shared" si="6"/>
        <v>Item no</v>
      </c>
      <c r="U36" s="44" t="str">
        <f t="shared" si="7"/>
        <v>Product Name or Service</v>
      </c>
      <c r="V36" s="45"/>
      <c r="W36" s="53" t="str">
        <f t="shared" si="8"/>
        <v>Product Code</v>
      </c>
      <c r="X36" s="53"/>
      <c r="Y36" s="53"/>
      <c r="Z36" s="54" t="str">
        <f t="shared" si="9"/>
        <v>Unit</v>
      </c>
      <c r="AA36" s="119" t="str">
        <f t="shared" si="10"/>
        <v>Quantity</v>
      </c>
      <c r="AB36" s="53"/>
      <c r="AC36" s="113" t="str">
        <f t="shared" si="24"/>
        <v>Unit Price USD</v>
      </c>
      <c r="AD36" s="225"/>
      <c r="AE36" s="224" t="str">
        <f t="shared" si="11"/>
        <v>FOB Rev USD</v>
      </c>
      <c r="AF36" s="226"/>
      <c r="AG36" s="244" t="str">
        <f t="shared" si="12"/>
        <v>FX Date</v>
      </c>
      <c r="AH36" s="242" t="str">
        <f t="shared" si="13"/>
        <v>FX Rate</v>
      </c>
      <c r="AI36" s="243"/>
      <c r="AJ36" s="189" t="str">
        <f t="shared" si="14"/>
        <v>FOB Rev THB</v>
      </c>
      <c r="AK36" s="192"/>
      <c r="AL36" s="239" t="str">
        <f t="shared" si="15"/>
        <v>Item no</v>
      </c>
      <c r="AM36" s="240" t="str">
        <f t="shared" si="16"/>
        <v>Product Name or Service</v>
      </c>
      <c r="AN36" s="241"/>
      <c r="AO36" s="53" t="str">
        <f t="shared" si="17"/>
        <v>Product Code</v>
      </c>
      <c r="AP36" s="53"/>
      <c r="AQ36" s="53"/>
      <c r="AR36" s="54" t="str">
        <f t="shared" si="18"/>
        <v>Unit</v>
      </c>
      <c r="AS36" s="119" t="str">
        <f t="shared" si="19"/>
        <v>Quantity</v>
      </c>
      <c r="AT36" s="121"/>
      <c r="AU36" s="113" t="str">
        <f t="shared" si="25"/>
        <v>Unit Price USD</v>
      </c>
      <c r="AV36" s="262"/>
      <c r="AW36" s="224" t="str">
        <f t="shared" si="20"/>
        <v>FOB Rev USD</v>
      </c>
      <c r="AX36" s="269"/>
      <c r="AY36" s="244" t="str">
        <f t="shared" si="21"/>
        <v>FX Date</v>
      </c>
      <c r="AZ36" s="242" t="str">
        <f t="shared" si="22"/>
        <v>FX Rate</v>
      </c>
      <c r="BA36" s="190"/>
      <c r="BB36" s="268" t="str">
        <f t="shared" si="23"/>
        <v>FOB Rev THB</v>
      </c>
      <c r="BC36" s="192"/>
    </row>
    <row r="37" s="6" customFormat="1" ht="21.75" customHeight="1" spans="1:55">
      <c r="A37" s="52"/>
      <c r="B37" s="43" t="s">
        <v>56</v>
      </c>
      <c r="C37" s="44" t="s">
        <v>57</v>
      </c>
      <c r="D37" s="45"/>
      <c r="E37" s="53" t="s">
        <v>58</v>
      </c>
      <c r="F37" s="53"/>
      <c r="G37" s="53"/>
      <c r="H37" s="54" t="s">
        <v>49</v>
      </c>
      <c r="I37" s="119" t="s">
        <v>59</v>
      </c>
      <c r="J37" s="123"/>
      <c r="K37" s="113" t="s">
        <v>60</v>
      </c>
      <c r="L37" s="124"/>
      <c r="M37" s="115" t="s">
        <v>61</v>
      </c>
      <c r="N37" s="125"/>
      <c r="O37" s="117" t="s">
        <v>18</v>
      </c>
      <c r="P37" s="118" t="s">
        <v>54</v>
      </c>
      <c r="Q37" s="191"/>
      <c r="R37" s="189" t="s">
        <v>62</v>
      </c>
      <c r="S37" s="192"/>
      <c r="T37" s="43" t="str">
        <f t="shared" si="6"/>
        <v>Item no</v>
      </c>
      <c r="U37" s="44" t="str">
        <f t="shared" si="7"/>
        <v>Product Name or Service</v>
      </c>
      <c r="V37" s="45"/>
      <c r="W37" s="53" t="str">
        <f t="shared" si="8"/>
        <v>Product Code</v>
      </c>
      <c r="X37" s="53"/>
      <c r="Y37" s="53"/>
      <c r="Z37" s="54" t="str">
        <f t="shared" si="9"/>
        <v>Unit</v>
      </c>
      <c r="AA37" s="119" t="str">
        <f t="shared" si="10"/>
        <v>Quantity</v>
      </c>
      <c r="AB37" s="53"/>
      <c r="AC37" s="113" t="str">
        <f t="shared" si="24"/>
        <v>Unit Price USD</v>
      </c>
      <c r="AD37" s="225"/>
      <c r="AE37" s="227" t="str">
        <f t="shared" si="11"/>
        <v>FOB Rev USD</v>
      </c>
      <c r="AF37" s="226"/>
      <c r="AG37" s="244" t="str">
        <f t="shared" si="12"/>
        <v>FX Date</v>
      </c>
      <c r="AH37" s="242" t="str">
        <f t="shared" si="13"/>
        <v>FX Rate</v>
      </c>
      <c r="AI37" s="243"/>
      <c r="AJ37" s="189" t="str">
        <f t="shared" si="14"/>
        <v>FOB Rev THB</v>
      </c>
      <c r="AK37" s="192"/>
      <c r="AL37" s="239" t="str">
        <f t="shared" si="15"/>
        <v>Item no</v>
      </c>
      <c r="AM37" s="240" t="str">
        <f t="shared" si="16"/>
        <v>Product Name or Service</v>
      </c>
      <c r="AN37" s="241"/>
      <c r="AO37" s="53" t="str">
        <f t="shared" si="17"/>
        <v>Product Code</v>
      </c>
      <c r="AP37" s="53"/>
      <c r="AQ37" s="53"/>
      <c r="AR37" s="54" t="str">
        <f t="shared" si="18"/>
        <v>Unit</v>
      </c>
      <c r="AS37" s="119" t="str">
        <f t="shared" si="19"/>
        <v>Quantity</v>
      </c>
      <c r="AT37" s="121"/>
      <c r="AU37" s="113" t="str">
        <f t="shared" si="25"/>
        <v>Unit Price USD</v>
      </c>
      <c r="AV37" s="262"/>
      <c r="AW37" s="227" t="str">
        <f t="shared" si="20"/>
        <v>FOB Rev USD</v>
      </c>
      <c r="AX37" s="269"/>
      <c r="AY37" s="244" t="str">
        <f t="shared" si="21"/>
        <v>FX Date</v>
      </c>
      <c r="AZ37" s="242" t="str">
        <f t="shared" si="22"/>
        <v>FX Rate</v>
      </c>
      <c r="BA37" s="190"/>
      <c r="BB37" s="268" t="str">
        <f t="shared" si="23"/>
        <v>FOB Rev THB</v>
      </c>
      <c r="BC37" s="192"/>
    </row>
    <row r="38" s="6" customFormat="1" ht="20.25" customHeight="1" spans="1:55">
      <c r="A38" s="52"/>
      <c r="B38" s="43" t="s">
        <v>56</v>
      </c>
      <c r="C38" s="44" t="s">
        <v>57</v>
      </c>
      <c r="D38" s="45"/>
      <c r="E38" s="55" t="s">
        <v>58</v>
      </c>
      <c r="F38" s="55"/>
      <c r="G38" s="55"/>
      <c r="H38" s="56" t="s">
        <v>49</v>
      </c>
      <c r="I38" s="126" t="s">
        <v>59</v>
      </c>
      <c r="J38" s="127"/>
      <c r="K38" s="128" t="s">
        <v>60</v>
      </c>
      <c r="L38" s="129"/>
      <c r="M38" s="115" t="s">
        <v>61</v>
      </c>
      <c r="N38" s="130"/>
      <c r="O38" s="117" t="s">
        <v>18</v>
      </c>
      <c r="P38" s="118" t="s">
        <v>54</v>
      </c>
      <c r="Q38" s="193"/>
      <c r="R38" s="189" t="s">
        <v>62</v>
      </c>
      <c r="S38" s="192"/>
      <c r="T38" s="43" t="str">
        <f t="shared" si="6"/>
        <v>Item no</v>
      </c>
      <c r="U38" s="44" t="str">
        <f t="shared" si="7"/>
        <v>Product Name or Service</v>
      </c>
      <c r="V38" s="45"/>
      <c r="W38" s="55" t="str">
        <f t="shared" si="8"/>
        <v>Product Code</v>
      </c>
      <c r="X38" s="55"/>
      <c r="Y38" s="55"/>
      <c r="Z38" s="56" t="str">
        <f t="shared" si="9"/>
        <v>Unit</v>
      </c>
      <c r="AA38" s="126" t="str">
        <f t="shared" si="10"/>
        <v>Quantity</v>
      </c>
      <c r="AB38" s="55"/>
      <c r="AC38" s="128" t="str">
        <f t="shared" si="24"/>
        <v>Unit Price USD</v>
      </c>
      <c r="AD38" s="228" t="str">
        <f>IF(L38=0,"",L38)</f>
        <v/>
      </c>
      <c r="AE38" s="229" t="str">
        <f t="shared" si="11"/>
        <v>FOB Rev USD</v>
      </c>
      <c r="AF38" s="230"/>
      <c r="AG38" s="245" t="str">
        <f t="shared" si="12"/>
        <v>FX Date</v>
      </c>
      <c r="AH38" s="246" t="str">
        <f t="shared" si="13"/>
        <v>FX Rate</v>
      </c>
      <c r="AI38" s="247"/>
      <c r="AJ38" s="189" t="str">
        <f t="shared" si="14"/>
        <v>FOB Rev THB</v>
      </c>
      <c r="AK38" s="192"/>
      <c r="AL38" s="239" t="str">
        <f t="shared" si="15"/>
        <v>Item no</v>
      </c>
      <c r="AM38" s="240" t="str">
        <f t="shared" si="16"/>
        <v>Product Name or Service</v>
      </c>
      <c r="AN38" s="241"/>
      <c r="AO38" s="55" t="str">
        <f t="shared" si="17"/>
        <v>Product Code</v>
      </c>
      <c r="AP38" s="55"/>
      <c r="AQ38" s="55"/>
      <c r="AR38" s="56" t="str">
        <f t="shared" si="18"/>
        <v>Unit</v>
      </c>
      <c r="AS38" s="126" t="str">
        <f t="shared" si="19"/>
        <v>Quantity</v>
      </c>
      <c r="AT38" s="263"/>
      <c r="AU38" s="128" t="str">
        <f t="shared" si="25"/>
        <v>Unit Price USD</v>
      </c>
      <c r="AV38" s="264"/>
      <c r="AW38" s="229" t="str">
        <f t="shared" si="20"/>
        <v>FOB Rev USD</v>
      </c>
      <c r="AX38" s="270"/>
      <c r="AY38" s="245" t="str">
        <f t="shared" si="21"/>
        <v>FX Date</v>
      </c>
      <c r="AZ38" s="246" t="str">
        <f t="shared" si="22"/>
        <v>FX Rate</v>
      </c>
      <c r="BA38" s="271"/>
      <c r="BB38" s="268" t="str">
        <f t="shared" si="23"/>
        <v>FOB Rev THB</v>
      </c>
      <c r="BC38" s="192"/>
    </row>
    <row r="39" s="6" customFormat="1" ht="20.25" customHeight="1" spans="1:55">
      <c r="A39" s="52"/>
      <c r="B39" s="43" t="s">
        <v>56</v>
      </c>
      <c r="C39" s="44" t="s">
        <v>57</v>
      </c>
      <c r="D39" s="45"/>
      <c r="E39" s="55" t="s">
        <v>58</v>
      </c>
      <c r="F39" s="55"/>
      <c r="G39" s="55"/>
      <c r="H39" s="56" t="s">
        <v>49</v>
      </c>
      <c r="I39" s="126" t="s">
        <v>59</v>
      </c>
      <c r="J39" s="127"/>
      <c r="K39" s="128" t="s">
        <v>60</v>
      </c>
      <c r="L39" s="129"/>
      <c r="M39" s="115" t="s">
        <v>61</v>
      </c>
      <c r="N39" s="130"/>
      <c r="O39" s="117" t="s">
        <v>18</v>
      </c>
      <c r="P39" s="118" t="s">
        <v>54</v>
      </c>
      <c r="Q39" s="193"/>
      <c r="R39" s="189" t="s">
        <v>62</v>
      </c>
      <c r="S39" s="192"/>
      <c r="T39" s="43" t="str">
        <f t="shared" si="6"/>
        <v>Item no</v>
      </c>
      <c r="U39" s="44" t="str">
        <f t="shared" si="7"/>
        <v>Product Name or Service</v>
      </c>
      <c r="V39" s="45"/>
      <c r="W39" s="55" t="str">
        <f t="shared" si="8"/>
        <v>Product Code</v>
      </c>
      <c r="X39" s="55"/>
      <c r="Y39" s="55"/>
      <c r="Z39" s="56" t="str">
        <f t="shared" si="9"/>
        <v>Unit</v>
      </c>
      <c r="AA39" s="126" t="str">
        <f t="shared" si="10"/>
        <v>Quantity</v>
      </c>
      <c r="AB39" s="55"/>
      <c r="AC39" s="128" t="str">
        <f t="shared" si="24"/>
        <v>Unit Price USD</v>
      </c>
      <c r="AD39" s="228" t="str">
        <f>IF(L39=0,"",L39)</f>
        <v/>
      </c>
      <c r="AE39" s="229" t="str">
        <f t="shared" si="11"/>
        <v>FOB Rev USD</v>
      </c>
      <c r="AF39" s="230"/>
      <c r="AG39" s="245" t="str">
        <f t="shared" si="12"/>
        <v>FX Date</v>
      </c>
      <c r="AH39" s="246" t="str">
        <f t="shared" si="13"/>
        <v>FX Rate</v>
      </c>
      <c r="AI39" s="247"/>
      <c r="AJ39" s="189" t="str">
        <f t="shared" si="14"/>
        <v>FOB Rev THB</v>
      </c>
      <c r="AK39" s="192"/>
      <c r="AL39" s="239" t="str">
        <f t="shared" si="15"/>
        <v>Item no</v>
      </c>
      <c r="AM39" s="240" t="str">
        <f t="shared" si="16"/>
        <v>Product Name or Service</v>
      </c>
      <c r="AN39" s="241"/>
      <c r="AO39" s="55" t="str">
        <f t="shared" si="17"/>
        <v>Product Code</v>
      </c>
      <c r="AP39" s="55"/>
      <c r="AQ39" s="55"/>
      <c r="AR39" s="56" t="str">
        <f t="shared" si="18"/>
        <v>Unit</v>
      </c>
      <c r="AS39" s="126" t="str">
        <f t="shared" si="19"/>
        <v>Quantity</v>
      </c>
      <c r="AT39" s="263"/>
      <c r="AU39" s="128" t="str">
        <f t="shared" si="25"/>
        <v>Unit Price USD</v>
      </c>
      <c r="AV39" s="264"/>
      <c r="AW39" s="229" t="str">
        <f t="shared" si="20"/>
        <v>FOB Rev USD</v>
      </c>
      <c r="AX39" s="270"/>
      <c r="AY39" s="245" t="str">
        <f t="shared" si="21"/>
        <v>FX Date</v>
      </c>
      <c r="AZ39" s="246" t="str">
        <f t="shared" si="22"/>
        <v>FX Rate</v>
      </c>
      <c r="BA39" s="271"/>
      <c r="BB39" s="268" t="str">
        <f t="shared" si="23"/>
        <v>FOB Rev THB</v>
      </c>
      <c r="BC39" s="192"/>
    </row>
    <row r="40" s="7" customFormat="1" ht="20.25" customHeight="1" spans="1:55">
      <c r="A40" s="57"/>
      <c r="B40" s="58" t="s">
        <v>56</v>
      </c>
      <c r="C40" s="59" t="s">
        <v>57</v>
      </c>
      <c r="D40" s="60"/>
      <c r="E40" s="61" t="s">
        <v>58</v>
      </c>
      <c r="F40" s="61"/>
      <c r="G40" s="61"/>
      <c r="H40" s="62" t="s">
        <v>49</v>
      </c>
      <c r="I40" s="131" t="s">
        <v>59</v>
      </c>
      <c r="J40" s="132"/>
      <c r="K40" s="133" t="s">
        <v>60</v>
      </c>
      <c r="L40" s="134"/>
      <c r="M40" s="135" t="s">
        <v>61</v>
      </c>
      <c r="N40" s="136"/>
      <c r="O40" s="137" t="s">
        <v>18</v>
      </c>
      <c r="P40" s="138" t="s">
        <v>54</v>
      </c>
      <c r="Q40" s="194"/>
      <c r="R40" s="195" t="s">
        <v>62</v>
      </c>
      <c r="S40" s="57"/>
      <c r="T40" s="58" t="str">
        <f t="shared" si="6"/>
        <v>Item no</v>
      </c>
      <c r="U40" s="59" t="str">
        <f t="shared" si="7"/>
        <v>Product Name or Service</v>
      </c>
      <c r="V40" s="60"/>
      <c r="W40" s="61" t="str">
        <f t="shared" si="8"/>
        <v>Product Code</v>
      </c>
      <c r="X40" s="61"/>
      <c r="Y40" s="61"/>
      <c r="Z40" s="62" t="str">
        <f t="shared" si="9"/>
        <v>Unit</v>
      </c>
      <c r="AA40" s="131" t="str">
        <f t="shared" si="10"/>
        <v>Quantity</v>
      </c>
      <c r="AB40" s="61"/>
      <c r="AC40" s="133" t="str">
        <f t="shared" si="24"/>
        <v>Unit Price USD</v>
      </c>
      <c r="AD40" s="231"/>
      <c r="AE40" s="232" t="str">
        <f t="shared" si="11"/>
        <v>FOB Rev USD</v>
      </c>
      <c r="AF40" s="233"/>
      <c r="AG40" s="248" t="str">
        <f t="shared" si="12"/>
        <v>FX Date</v>
      </c>
      <c r="AH40" s="249" t="str">
        <f t="shared" si="13"/>
        <v>FX Rate</v>
      </c>
      <c r="AI40" s="250"/>
      <c r="AJ40" s="195" t="str">
        <f t="shared" si="14"/>
        <v>FOB Rev THB</v>
      </c>
      <c r="AK40" s="57"/>
      <c r="AL40" s="239" t="str">
        <f t="shared" si="15"/>
        <v>Item no</v>
      </c>
      <c r="AM40" s="240" t="str">
        <f t="shared" si="16"/>
        <v>Product Name or Service</v>
      </c>
      <c r="AN40" s="241"/>
      <c r="AO40" s="61" t="str">
        <f t="shared" si="17"/>
        <v>Product Code</v>
      </c>
      <c r="AP40" s="61"/>
      <c r="AQ40" s="61"/>
      <c r="AR40" s="62" t="str">
        <f t="shared" si="18"/>
        <v>Unit</v>
      </c>
      <c r="AS40" s="131" t="str">
        <f t="shared" si="19"/>
        <v>Quantity</v>
      </c>
      <c r="AT40" s="265"/>
      <c r="AU40" s="133" t="str">
        <f t="shared" si="25"/>
        <v>Unit Price USD</v>
      </c>
      <c r="AV40" s="266"/>
      <c r="AW40" s="232" t="str">
        <f t="shared" si="20"/>
        <v>FOB Rev USD</v>
      </c>
      <c r="AX40" s="272"/>
      <c r="AY40" s="248" t="str">
        <f t="shared" si="21"/>
        <v>FX Date</v>
      </c>
      <c r="AZ40" s="249" t="str">
        <f t="shared" si="22"/>
        <v>FX Rate</v>
      </c>
      <c r="BA40" s="273"/>
      <c r="BB40" s="274" t="str">
        <f t="shared" si="23"/>
        <v>FOB Rev THB</v>
      </c>
      <c r="BC40" s="57"/>
    </row>
    <row r="41" s="8" customFormat="1" ht="3" customHeight="1" spans="1:55">
      <c r="A41" s="20"/>
      <c r="B41" s="63"/>
      <c r="M41" s="88"/>
      <c r="N41" s="139"/>
      <c r="O41" s="140"/>
      <c r="R41" s="196"/>
      <c r="S41" s="20"/>
      <c r="T41" s="63"/>
      <c r="AE41" s="88"/>
      <c r="AF41" s="139"/>
      <c r="AG41" s="140"/>
      <c r="AJ41" s="251"/>
      <c r="AK41" s="20"/>
      <c r="AL41" s="63"/>
      <c r="AW41" s="88"/>
      <c r="AX41" s="139"/>
      <c r="AY41" s="140"/>
      <c r="BB41" s="251"/>
      <c r="BC41" s="20"/>
    </row>
    <row r="42" ht="33.75" customHeight="1" spans="1:55">
      <c r="A42" s="12"/>
      <c r="B42" s="64" t="s">
        <v>63</v>
      </c>
      <c r="C42" s="65" t="str">
        <f>"("&amp;BAHTTEXT(R51)&amp;")"</f>
        <v>(ศูนย์บาทถ้วน)</v>
      </c>
      <c r="D42" s="65"/>
      <c r="E42" s="65"/>
      <c r="F42" s="65"/>
      <c r="G42" s="65"/>
      <c r="H42" s="65"/>
      <c r="I42" s="65"/>
      <c r="J42" s="65"/>
      <c r="K42" s="65"/>
      <c r="L42" s="65"/>
      <c r="M42" s="141"/>
      <c r="N42" s="139"/>
      <c r="O42" s="142" t="s">
        <v>64</v>
      </c>
      <c r="P42" s="143"/>
      <c r="Q42" s="197"/>
      <c r="R42" s="198">
        <f>SUM(R23:R40)</f>
        <v>0</v>
      </c>
      <c r="S42" s="12"/>
      <c r="T42" s="64" t="s">
        <v>63</v>
      </c>
      <c r="U42" s="65" t="str">
        <f>"("&amp;BAHTTEXT(AJ51)&amp;")"</f>
        <v>(ศูนย์บาทถ้วน)</v>
      </c>
      <c r="V42" s="65"/>
      <c r="W42" s="65"/>
      <c r="X42" s="65"/>
      <c r="Y42" s="65"/>
      <c r="Z42" s="65"/>
      <c r="AA42" s="65"/>
      <c r="AB42" s="65"/>
      <c r="AC42" s="65"/>
      <c r="AD42" s="65"/>
      <c r="AE42" s="141"/>
      <c r="AF42" s="139"/>
      <c r="AG42" s="142" t="s">
        <v>65</v>
      </c>
      <c r="AH42" s="252"/>
      <c r="AI42" s="253"/>
      <c r="AJ42" s="198">
        <f>R42</f>
        <v>0</v>
      </c>
      <c r="AK42" s="12"/>
      <c r="AL42" s="64" t="s">
        <v>63</v>
      </c>
      <c r="AM42" s="65" t="str">
        <f>"("&amp;BAHTTEXT(BB51)&amp;")"</f>
        <v>(ศูนย์บาทถ้วน)</v>
      </c>
      <c r="AN42" s="65"/>
      <c r="AO42" s="65"/>
      <c r="AP42" s="65"/>
      <c r="AQ42" s="65"/>
      <c r="AR42" s="65"/>
      <c r="AS42" s="65"/>
      <c r="AT42" s="65"/>
      <c r="AU42" s="65"/>
      <c r="AV42" s="65"/>
      <c r="AW42" s="141" t="s">
        <v>66</v>
      </c>
      <c r="AX42" s="139"/>
      <c r="AY42" s="142" t="s">
        <v>67</v>
      </c>
      <c r="AZ42" s="252"/>
      <c r="BA42" s="253"/>
      <c r="BB42" s="198">
        <f>AJ42</f>
        <v>0</v>
      </c>
      <c r="BC42" s="12"/>
    </row>
    <row r="43" ht="13.5" customHeight="1" spans="1:55">
      <c r="A43" s="12"/>
      <c r="B43" s="66" t="s">
        <v>68</v>
      </c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144"/>
      <c r="N43" s="8"/>
      <c r="O43" s="145" t="s">
        <v>69</v>
      </c>
      <c r="P43" s="146"/>
      <c r="Q43" s="199"/>
      <c r="R43" s="200">
        <f>IF(Q43=0%,0,ROUND(R42*Q43,2))</f>
        <v>0</v>
      </c>
      <c r="S43" s="12"/>
      <c r="T43" s="66" t="s">
        <v>68</v>
      </c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144"/>
      <c r="AF43" s="8"/>
      <c r="AG43" s="145" t="s">
        <v>69</v>
      </c>
      <c r="AH43" s="254"/>
      <c r="AI43" s="199"/>
      <c r="AJ43" s="200">
        <f>R43</f>
        <v>0</v>
      </c>
      <c r="AK43" s="12"/>
      <c r="AL43" s="66" t="s">
        <v>68</v>
      </c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144"/>
      <c r="AX43" s="8"/>
      <c r="AY43" s="145" t="s">
        <v>70</v>
      </c>
      <c r="AZ43" s="254"/>
      <c r="BA43" s="199"/>
      <c r="BB43" s="200">
        <f>AJ43</f>
        <v>0</v>
      </c>
      <c r="BC43" s="12"/>
    </row>
    <row r="44" ht="13.5" customHeight="1" spans="1:55">
      <c r="A44" s="12"/>
      <c r="B44" s="66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144"/>
      <c r="N44" s="8"/>
      <c r="O44" s="142"/>
      <c r="P44" s="143"/>
      <c r="Q44" s="201"/>
      <c r="R44" s="202"/>
      <c r="S44" s="12"/>
      <c r="T44" s="66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144"/>
      <c r="AF44" s="8"/>
      <c r="AG44" s="142"/>
      <c r="AH44" s="252"/>
      <c r="AI44" s="201"/>
      <c r="AJ44" s="202"/>
      <c r="AK44" s="12"/>
      <c r="AL44" s="66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144"/>
      <c r="AX44" s="8"/>
      <c r="AY44" s="142"/>
      <c r="AZ44" s="252"/>
      <c r="BA44" s="201"/>
      <c r="BB44" s="202"/>
      <c r="BC44" s="12"/>
    </row>
    <row r="45" ht="13.5" customHeight="1" spans="1:55">
      <c r="A45" s="12"/>
      <c r="B45" s="66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144"/>
      <c r="N45" s="8"/>
      <c r="O45" s="147" t="s">
        <v>71</v>
      </c>
      <c r="P45" s="148"/>
      <c r="Q45" s="203"/>
      <c r="R45" s="200">
        <f>ROUND(R42-R43,2)</f>
        <v>0</v>
      </c>
      <c r="S45" s="12"/>
      <c r="T45" s="66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144"/>
      <c r="AF45" s="8"/>
      <c r="AG45" s="147" t="s">
        <v>71</v>
      </c>
      <c r="AH45" s="148"/>
      <c r="AI45" s="203"/>
      <c r="AJ45" s="200">
        <f>R45</f>
        <v>0</v>
      </c>
      <c r="AK45" s="12"/>
      <c r="AL45" s="66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144"/>
      <c r="AX45" s="8"/>
      <c r="AY45" s="147" t="s">
        <v>71</v>
      </c>
      <c r="AZ45" s="148"/>
      <c r="BA45" s="203"/>
      <c r="BB45" s="200">
        <f>AJ45</f>
        <v>0</v>
      </c>
      <c r="BC45" s="12"/>
    </row>
    <row r="46" ht="13.5" customHeight="1" spans="1:55">
      <c r="A46" s="12"/>
      <c r="B46" s="66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144"/>
      <c r="N46" s="8"/>
      <c r="O46" s="149"/>
      <c r="P46" s="150"/>
      <c r="Q46" s="204"/>
      <c r="R46" s="202"/>
      <c r="S46" s="12"/>
      <c r="T46" s="66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144"/>
      <c r="AF46" s="8"/>
      <c r="AG46" s="149"/>
      <c r="AH46" s="150"/>
      <c r="AI46" s="204"/>
      <c r="AJ46" s="202"/>
      <c r="AK46" s="12"/>
      <c r="AL46" s="66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144"/>
      <c r="AX46" s="8"/>
      <c r="AY46" s="149"/>
      <c r="AZ46" s="150"/>
      <c r="BA46" s="204"/>
      <c r="BB46" s="202"/>
      <c r="BC46" s="12"/>
    </row>
    <row r="47" ht="13.5" customHeight="1" spans="1:55">
      <c r="A47" s="12"/>
      <c r="B47" s="69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151"/>
      <c r="N47" s="8"/>
      <c r="O47" s="152" t="s">
        <v>72</v>
      </c>
      <c r="P47" s="146"/>
      <c r="Q47" s="205">
        <v>0</v>
      </c>
      <c r="R47" s="200">
        <f>ROUND(R45*Q47,2)</f>
        <v>0</v>
      </c>
      <c r="S47" s="12"/>
      <c r="T47" s="69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151"/>
      <c r="AF47" s="8"/>
      <c r="AG47" s="145" t="s">
        <v>73</v>
      </c>
      <c r="AH47" s="254"/>
      <c r="AI47" s="205">
        <v>0</v>
      </c>
      <c r="AJ47" s="200">
        <f>R47</f>
        <v>0</v>
      </c>
      <c r="AK47" s="12"/>
      <c r="AL47" s="69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151"/>
      <c r="AX47" s="8"/>
      <c r="AY47" s="145" t="s">
        <v>74</v>
      </c>
      <c r="AZ47" s="254"/>
      <c r="BA47" s="205">
        <f>AI47</f>
        <v>0</v>
      </c>
      <c r="BB47" s="200">
        <f>AJ47</f>
        <v>0</v>
      </c>
      <c r="BC47" s="12"/>
    </row>
    <row r="48" ht="13.5" customHeight="1" spans="1:55">
      <c r="A48" s="12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153"/>
      <c r="O48" s="142"/>
      <c r="P48" s="143"/>
      <c r="Q48" s="201"/>
      <c r="R48" s="202"/>
      <c r="S48" s="12"/>
      <c r="T48" s="70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153"/>
      <c r="AG48" s="142"/>
      <c r="AH48" s="252"/>
      <c r="AI48" s="201"/>
      <c r="AJ48" s="202"/>
      <c r="AK48" s="12"/>
      <c r="AL48" s="70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153"/>
      <c r="AY48" s="142"/>
      <c r="AZ48" s="252"/>
      <c r="BA48" s="201"/>
      <c r="BB48" s="202"/>
      <c r="BC48" s="12"/>
    </row>
    <row r="49" ht="13.5" customHeight="1" spans="1:55">
      <c r="A49" s="12"/>
      <c r="B49" s="70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153"/>
      <c r="O49" s="145" t="s">
        <v>75</v>
      </c>
      <c r="P49" s="146"/>
      <c r="Q49" s="205">
        <v>0</v>
      </c>
      <c r="R49" s="200">
        <v>0</v>
      </c>
      <c r="S49" s="12"/>
      <c r="T49" s="70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153"/>
      <c r="AG49" s="145" t="s">
        <v>75</v>
      </c>
      <c r="AH49" s="255"/>
      <c r="AI49" s="205">
        <v>0</v>
      </c>
      <c r="AJ49" s="200">
        <f>R49</f>
        <v>0</v>
      </c>
      <c r="AK49" s="12"/>
      <c r="AL49" s="70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153"/>
      <c r="AY49" s="145" t="s">
        <v>75</v>
      </c>
      <c r="AZ49" s="255"/>
      <c r="BA49" s="205">
        <f>AI49</f>
        <v>0</v>
      </c>
      <c r="BB49" s="200">
        <f>AJ49</f>
        <v>0</v>
      </c>
      <c r="BC49" s="12"/>
    </row>
    <row r="50" ht="13.5" customHeight="1" spans="1:55">
      <c r="A50" s="12"/>
      <c r="B50" s="70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154"/>
      <c r="O50" s="155" t="s">
        <v>76</v>
      </c>
      <c r="P50" s="143"/>
      <c r="Q50" s="201"/>
      <c r="R50" s="202"/>
      <c r="S50" s="12"/>
      <c r="T50" s="70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154"/>
      <c r="AG50" s="155" t="s">
        <v>76</v>
      </c>
      <c r="AH50" s="256"/>
      <c r="AI50" s="201"/>
      <c r="AJ50" s="202"/>
      <c r="AK50" s="12"/>
      <c r="AL50" s="70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154"/>
      <c r="AY50" s="155" t="s">
        <v>76</v>
      </c>
      <c r="AZ50" s="256"/>
      <c r="BA50" s="201"/>
      <c r="BB50" s="202"/>
      <c r="BC50" s="12"/>
    </row>
    <row r="51" ht="13.5" customHeight="1" spans="1:55">
      <c r="A51" s="12"/>
      <c r="B51" s="70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154"/>
      <c r="O51" s="145" t="s">
        <v>77</v>
      </c>
      <c r="P51" s="146"/>
      <c r="Q51" s="206"/>
      <c r="R51" s="200">
        <f>SUM(R45:R48)-R49</f>
        <v>0</v>
      </c>
      <c r="S51" s="12"/>
      <c r="T51" s="70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154"/>
      <c r="AG51" s="145" t="s">
        <v>77</v>
      </c>
      <c r="AH51" s="254"/>
      <c r="AI51" s="257"/>
      <c r="AJ51" s="200">
        <f>R51</f>
        <v>0</v>
      </c>
      <c r="AK51" s="12"/>
      <c r="AL51" s="70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154"/>
      <c r="AY51" s="145" t="s">
        <v>77</v>
      </c>
      <c r="AZ51" s="254"/>
      <c r="BA51" s="257"/>
      <c r="BB51" s="200">
        <f>AJ51</f>
        <v>0</v>
      </c>
      <c r="BC51" s="12"/>
    </row>
    <row r="52" ht="13.5" customHeight="1" spans="1:55">
      <c r="A52" s="12"/>
      <c r="B52" s="70"/>
      <c r="O52" s="156"/>
      <c r="P52" s="157"/>
      <c r="Q52" s="207"/>
      <c r="R52" s="208"/>
      <c r="S52" s="12"/>
      <c r="T52" s="70"/>
      <c r="AE52" s="10"/>
      <c r="AG52" s="156"/>
      <c r="AH52" s="258"/>
      <c r="AI52" s="259"/>
      <c r="AJ52" s="208"/>
      <c r="AK52" s="12"/>
      <c r="AL52" s="70"/>
      <c r="AW52" s="10"/>
      <c r="AY52" s="156"/>
      <c r="AZ52" s="258"/>
      <c r="BA52" s="259"/>
      <c r="BB52" s="208"/>
      <c r="BC52" s="12"/>
    </row>
    <row r="53" ht="13.5" customHeight="1" spans="1:55">
      <c r="A53" s="12"/>
      <c r="B53" s="70"/>
      <c r="O53" s="158"/>
      <c r="P53" s="159"/>
      <c r="Q53" s="181"/>
      <c r="R53" s="209"/>
      <c r="S53" s="12"/>
      <c r="T53" s="70"/>
      <c r="AE53" s="10"/>
      <c r="AG53" s="158"/>
      <c r="AH53" s="159"/>
      <c r="AI53" s="181"/>
      <c r="AJ53" s="209"/>
      <c r="AK53" s="12"/>
      <c r="AL53" s="70"/>
      <c r="AW53" s="10"/>
      <c r="AY53" s="158"/>
      <c r="AZ53" s="159"/>
      <c r="BA53" s="181"/>
      <c r="BB53" s="209"/>
      <c r="BC53" s="12"/>
    </row>
    <row r="54" ht="8.25" customHeight="1" spans="1:55">
      <c r="A54" s="12"/>
      <c r="B54" s="70"/>
      <c r="R54" s="78"/>
      <c r="S54" s="12"/>
      <c r="T54" s="70"/>
      <c r="AE54" s="10"/>
      <c r="AG54" s="11"/>
      <c r="AJ54" s="78"/>
      <c r="AK54" s="12"/>
      <c r="AL54" s="70"/>
      <c r="AW54" s="10"/>
      <c r="AY54" s="11"/>
      <c r="BB54" s="78"/>
      <c r="BC54" s="12"/>
    </row>
    <row r="55" ht="18.75" customHeight="1" spans="1:55">
      <c r="A55" s="12"/>
      <c r="B55" s="73" t="s">
        <v>78</v>
      </c>
      <c r="C55" s="74"/>
      <c r="D55" s="74"/>
      <c r="E55" s="75"/>
      <c r="F55" s="8"/>
      <c r="G55" s="73"/>
      <c r="H55" s="74"/>
      <c r="I55" s="74"/>
      <c r="J55" s="74"/>
      <c r="K55" s="75"/>
      <c r="L55" s="8"/>
      <c r="M55" s="160" t="s">
        <v>79</v>
      </c>
      <c r="N55" s="161"/>
      <c r="O55" s="162"/>
      <c r="P55" s="74"/>
      <c r="Q55" s="74"/>
      <c r="R55" s="75"/>
      <c r="S55" s="12"/>
      <c r="T55" s="73" t="s">
        <v>78</v>
      </c>
      <c r="U55" s="74"/>
      <c r="V55" s="74"/>
      <c r="W55" s="75"/>
      <c r="X55" s="8"/>
      <c r="Y55" s="73"/>
      <c r="Z55" s="74"/>
      <c r="AA55" s="74"/>
      <c r="AB55" s="74"/>
      <c r="AC55" s="75"/>
      <c r="AD55" s="8"/>
      <c r="AE55" s="160" t="s">
        <v>79</v>
      </c>
      <c r="AF55" s="161"/>
      <c r="AG55" s="162"/>
      <c r="AH55" s="74"/>
      <c r="AI55" s="74"/>
      <c r="AJ55" s="75"/>
      <c r="AK55" s="12"/>
      <c r="AL55" s="73" t="s">
        <v>78</v>
      </c>
      <c r="AM55" s="74"/>
      <c r="AN55" s="74"/>
      <c r="AO55" s="75"/>
      <c r="AP55" s="8"/>
      <c r="AQ55" s="73"/>
      <c r="AR55" s="74"/>
      <c r="AS55" s="74"/>
      <c r="AT55" s="74"/>
      <c r="AU55" s="75"/>
      <c r="AV55" s="8"/>
      <c r="AW55" s="160" t="s">
        <v>79</v>
      </c>
      <c r="AX55" s="161"/>
      <c r="AY55" s="162"/>
      <c r="AZ55" s="74"/>
      <c r="BA55" s="74"/>
      <c r="BB55" s="75"/>
      <c r="BC55" s="12"/>
    </row>
    <row r="56" ht="25" customHeight="1" spans="1:55">
      <c r="A56" s="12"/>
      <c r="B56" s="76" t="s">
        <v>80</v>
      </c>
      <c r="C56" s="77"/>
      <c r="D56" s="77"/>
      <c r="E56" s="78"/>
      <c r="G56" s="63"/>
      <c r="J56" s="8"/>
      <c r="K56" s="78"/>
      <c r="L56" s="8"/>
      <c r="M56" s="163" t="s">
        <v>81</v>
      </c>
      <c r="N56" s="164"/>
      <c r="O56" s="165"/>
      <c r="P56" s="164"/>
      <c r="Q56" s="164"/>
      <c r="R56" s="210"/>
      <c r="S56" s="12"/>
      <c r="T56" s="76" t="s">
        <v>80</v>
      </c>
      <c r="U56" s="77"/>
      <c r="V56" s="77"/>
      <c r="W56" s="78"/>
      <c r="Y56" s="63"/>
      <c r="AB56" s="8"/>
      <c r="AC56" s="78"/>
      <c r="AD56" s="8"/>
      <c r="AE56" s="163" t="s">
        <v>81</v>
      </c>
      <c r="AF56" s="164"/>
      <c r="AG56" s="165"/>
      <c r="AH56" s="164"/>
      <c r="AI56" s="164"/>
      <c r="AJ56" s="210"/>
      <c r="AK56" s="12"/>
      <c r="AL56" s="76" t="s">
        <v>80</v>
      </c>
      <c r="AM56" s="77"/>
      <c r="AN56" s="77"/>
      <c r="AO56" s="78"/>
      <c r="AQ56" s="63"/>
      <c r="AT56" s="8"/>
      <c r="AU56" s="78"/>
      <c r="AV56" s="8"/>
      <c r="AW56" s="163" t="s">
        <v>81</v>
      </c>
      <c r="AX56" s="164"/>
      <c r="AY56" s="165"/>
      <c r="AZ56" s="164"/>
      <c r="BA56" s="164"/>
      <c r="BB56" s="210"/>
      <c r="BC56" s="12"/>
    </row>
    <row r="57" s="1" customFormat="1" ht="51" customHeight="1" spans="1:55">
      <c r="A57" s="16"/>
      <c r="B57" s="79" t="s">
        <v>82</v>
      </c>
      <c r="C57" s="80"/>
      <c r="D57" s="80"/>
      <c r="E57" s="81"/>
      <c r="G57" s="79" t="s">
        <v>83</v>
      </c>
      <c r="J57" s="166"/>
      <c r="K57" s="167"/>
      <c r="L57" s="82"/>
      <c r="M57" s="168"/>
      <c r="N57" s="80"/>
      <c r="O57" s="169"/>
      <c r="P57" s="80"/>
      <c r="Q57" s="80"/>
      <c r="R57" s="81"/>
      <c r="S57" s="16"/>
      <c r="T57" s="79" t="s">
        <v>82</v>
      </c>
      <c r="U57" s="80"/>
      <c r="V57" s="80"/>
      <c r="W57" s="81"/>
      <c r="Y57" s="79" t="s">
        <v>83</v>
      </c>
      <c r="AB57" s="166"/>
      <c r="AC57" s="167"/>
      <c r="AD57" s="82"/>
      <c r="AE57" s="168"/>
      <c r="AF57" s="80"/>
      <c r="AG57" s="169"/>
      <c r="AH57" s="80"/>
      <c r="AI57" s="80"/>
      <c r="AJ57" s="81"/>
      <c r="AK57" s="16"/>
      <c r="AL57" s="79" t="s">
        <v>82</v>
      </c>
      <c r="AM57" s="80"/>
      <c r="AN57" s="80"/>
      <c r="AO57" s="81"/>
      <c r="AQ57" s="79" t="s">
        <v>83</v>
      </c>
      <c r="AT57" s="166"/>
      <c r="AU57" s="167"/>
      <c r="AV57" s="82"/>
      <c r="AW57" s="168"/>
      <c r="AX57" s="80"/>
      <c r="AY57" s="169"/>
      <c r="AZ57" s="80"/>
      <c r="BA57" s="80"/>
      <c r="BB57" s="81"/>
      <c r="BC57" s="16"/>
    </row>
    <row r="58" s="1" customFormat="1" ht="19.5" customHeight="1" spans="1:55">
      <c r="A58" s="16"/>
      <c r="B58" s="79" t="s">
        <v>84</v>
      </c>
      <c r="C58" s="82"/>
      <c r="D58" s="80"/>
      <c r="E58" s="81"/>
      <c r="G58" s="79" t="s">
        <v>85</v>
      </c>
      <c r="J58" s="80"/>
      <c r="K58" s="81"/>
      <c r="L58" s="82"/>
      <c r="M58" s="79"/>
      <c r="N58" s="80"/>
      <c r="O58" s="169"/>
      <c r="P58" s="80"/>
      <c r="Q58" s="80"/>
      <c r="R58" s="81"/>
      <c r="S58" s="16"/>
      <c r="T58" s="79" t="s">
        <v>84</v>
      </c>
      <c r="U58" s="82"/>
      <c r="V58" s="80"/>
      <c r="W58" s="81"/>
      <c r="Y58" s="79" t="s">
        <v>85</v>
      </c>
      <c r="AB58" s="80"/>
      <c r="AC58" s="81"/>
      <c r="AD58" s="82"/>
      <c r="AE58" s="79"/>
      <c r="AF58" s="80"/>
      <c r="AG58" s="169"/>
      <c r="AH58" s="80"/>
      <c r="AI58" s="80"/>
      <c r="AJ58" s="81"/>
      <c r="AK58" s="16"/>
      <c r="AL58" s="79" t="s">
        <v>84</v>
      </c>
      <c r="AM58" s="82"/>
      <c r="AN58" s="80"/>
      <c r="AO58" s="81"/>
      <c r="AQ58" s="79" t="s">
        <v>85</v>
      </c>
      <c r="AT58" s="80"/>
      <c r="AU58" s="81"/>
      <c r="AV58" s="82"/>
      <c r="AW58" s="79"/>
      <c r="AX58" s="80"/>
      <c r="AY58" s="169"/>
      <c r="AZ58" s="80"/>
      <c r="BA58" s="80"/>
      <c r="BB58" s="81"/>
      <c r="BC58" s="16"/>
    </row>
    <row r="59" s="2" customFormat="1" ht="24.75" customHeight="1" spans="1:55">
      <c r="A59" s="18"/>
      <c r="B59" s="83"/>
      <c r="C59" s="84"/>
      <c r="D59" s="84"/>
      <c r="E59" s="85"/>
      <c r="F59" s="84"/>
      <c r="G59" s="83"/>
      <c r="H59" s="84"/>
      <c r="I59" s="84"/>
      <c r="J59" s="84"/>
      <c r="K59" s="85"/>
      <c r="L59" s="84"/>
      <c r="M59" s="170" t="s">
        <v>86</v>
      </c>
      <c r="N59" s="171"/>
      <c r="O59" s="172"/>
      <c r="P59" s="84"/>
      <c r="Q59" s="84"/>
      <c r="R59" s="85"/>
      <c r="S59" s="18"/>
      <c r="T59" s="83"/>
      <c r="U59" s="84"/>
      <c r="V59" s="84"/>
      <c r="W59" s="85"/>
      <c r="X59" s="84"/>
      <c r="Y59" s="83"/>
      <c r="Z59" s="84"/>
      <c r="AA59" s="84"/>
      <c r="AB59" s="84"/>
      <c r="AC59" s="85"/>
      <c r="AD59" s="84"/>
      <c r="AE59" s="170" t="s">
        <v>86</v>
      </c>
      <c r="AF59" s="171"/>
      <c r="AG59" s="172"/>
      <c r="AH59" s="84"/>
      <c r="AI59" s="84"/>
      <c r="AJ59" s="85"/>
      <c r="AK59" s="18"/>
      <c r="AL59" s="83"/>
      <c r="AM59" s="84"/>
      <c r="AN59" s="84"/>
      <c r="AO59" s="85"/>
      <c r="AP59" s="84"/>
      <c r="AQ59" s="83"/>
      <c r="AR59" s="84"/>
      <c r="AS59" s="84"/>
      <c r="AT59" s="84"/>
      <c r="AU59" s="85"/>
      <c r="AV59" s="84"/>
      <c r="AW59" s="170" t="s">
        <v>86</v>
      </c>
      <c r="AX59" s="171"/>
      <c r="AY59" s="172"/>
      <c r="AZ59" s="84"/>
      <c r="BA59" s="84"/>
      <c r="BB59" s="85"/>
      <c r="BC59" s="18"/>
    </row>
    <row r="60" ht="27" customHeight="1" spans="1:5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86"/>
      <c r="N60" s="12"/>
      <c r="O60" s="87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</row>
  </sheetData>
  <sheetProtection selectLockedCells="1"/>
  <mergeCells count="107">
    <mergeCell ref="D4:O4"/>
    <mergeCell ref="V4:AG4"/>
    <mergeCell ref="AN4:AY4"/>
    <mergeCell ref="D5:M5"/>
    <mergeCell ref="V5:AG5"/>
    <mergeCell ref="AN5:AY5"/>
    <mergeCell ref="D6:N6"/>
    <mergeCell ref="V6:AG6"/>
    <mergeCell ref="AN6:AY6"/>
    <mergeCell ref="D7:M7"/>
    <mergeCell ref="V7:AG7"/>
    <mergeCell ref="AN7:AY7"/>
    <mergeCell ref="B10:R10"/>
    <mergeCell ref="T10:AJ10"/>
    <mergeCell ref="AL10:BB10"/>
    <mergeCell ref="B11:R11"/>
    <mergeCell ref="T11:AJ11"/>
    <mergeCell ref="AL11:BB11"/>
    <mergeCell ref="Q13:R13"/>
    <mergeCell ref="Q14:R14"/>
    <mergeCell ref="D17:J17"/>
    <mergeCell ref="D19:J19"/>
    <mergeCell ref="L20:N20"/>
    <mergeCell ref="C21:D21"/>
    <mergeCell ref="E21:G21"/>
    <mergeCell ref="J21:K21"/>
    <mergeCell ref="L21:N21"/>
    <mergeCell ref="P21:Q21"/>
    <mergeCell ref="U21:V21"/>
    <mergeCell ref="W21:Y21"/>
    <mergeCell ref="AB21:AC21"/>
    <mergeCell ref="AD21:AF21"/>
    <mergeCell ref="AH21:AI21"/>
    <mergeCell ref="AM21:AN21"/>
    <mergeCell ref="AO21:AQ21"/>
    <mergeCell ref="AT21:AU21"/>
    <mergeCell ref="AV21:AX21"/>
    <mergeCell ref="AZ21:BA21"/>
    <mergeCell ref="C22:D22"/>
    <mergeCell ref="E22:G22"/>
    <mergeCell ref="J22:K22"/>
    <mergeCell ref="L22:N22"/>
    <mergeCell ref="P22:Q22"/>
    <mergeCell ref="U22:V22"/>
    <mergeCell ref="W22:Y22"/>
    <mergeCell ref="AB22:AC22"/>
    <mergeCell ref="AD22:AF22"/>
    <mergeCell ref="AH22:AI22"/>
    <mergeCell ref="AM22:AN22"/>
    <mergeCell ref="AO22:AQ22"/>
    <mergeCell ref="AT22:AU22"/>
    <mergeCell ref="AV22:AX22"/>
    <mergeCell ref="AZ22:BA22"/>
    <mergeCell ref="C42:M42"/>
    <mergeCell ref="O42:P42"/>
    <mergeCell ref="U42:AE42"/>
    <mergeCell ref="AG42:AH42"/>
    <mergeCell ref="AM42:AW42"/>
    <mergeCell ref="AY42:AZ42"/>
    <mergeCell ref="O49:P49"/>
    <mergeCell ref="AG49:AH49"/>
    <mergeCell ref="AY49:AZ49"/>
    <mergeCell ref="O50:P50"/>
    <mergeCell ref="AG50:AH50"/>
    <mergeCell ref="AY50:AZ50"/>
    <mergeCell ref="M56:R56"/>
    <mergeCell ref="AE56:AJ56"/>
    <mergeCell ref="AW56:BB56"/>
    <mergeCell ref="Q43:Q44"/>
    <mergeCell ref="Q47:Q48"/>
    <mergeCell ref="Q49:Q50"/>
    <mergeCell ref="R43:R44"/>
    <mergeCell ref="R45:R46"/>
    <mergeCell ref="R47:R48"/>
    <mergeCell ref="R49:R50"/>
    <mergeCell ref="R51:R52"/>
    <mergeCell ref="AI43:AI44"/>
    <mergeCell ref="AI47:AI48"/>
    <mergeCell ref="AI49:AI50"/>
    <mergeCell ref="AJ43:AJ44"/>
    <mergeCell ref="AJ45:AJ46"/>
    <mergeCell ref="AJ47:AJ48"/>
    <mergeCell ref="AJ49:AJ50"/>
    <mergeCell ref="AJ51:AJ52"/>
    <mergeCell ref="BA43:BA44"/>
    <mergeCell ref="BA47:BA48"/>
    <mergeCell ref="BA49:BA50"/>
    <mergeCell ref="BB43:BB44"/>
    <mergeCell ref="BB45:BB46"/>
    <mergeCell ref="BB47:BB48"/>
    <mergeCell ref="BB49:BB50"/>
    <mergeCell ref="BB51:BB52"/>
    <mergeCell ref="O45:Q46"/>
    <mergeCell ref="AG45:AI46"/>
    <mergeCell ref="AY45:BA46"/>
    <mergeCell ref="O51:P52"/>
    <mergeCell ref="AG51:AH52"/>
    <mergeCell ref="AY51:AZ52"/>
    <mergeCell ref="O43:P44"/>
    <mergeCell ref="AG43:AH44"/>
    <mergeCell ref="AY43:AZ44"/>
    <mergeCell ref="O47:P48"/>
    <mergeCell ref="AG47:AH48"/>
    <mergeCell ref="AY47:AZ48"/>
    <mergeCell ref="B3:C6"/>
    <mergeCell ref="T3:U6"/>
    <mergeCell ref="AL3:AM6"/>
  </mergeCells>
  <pageMargins left="0.196850393700787" right="0.196850393700787" top="0.354330708661417" bottom="0.236220472440945" header="0.31496062992126" footer="0.31496062992126"/>
  <pageSetup paperSize="9" scale="64" orientation="portrait" verticalDpi="300"/>
  <headerFooter/>
  <ignoredErrors>
    <ignoredError sqref="AI38:AI39 AF38:AF39 AD38:AD39" unlocked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Panupong Pisanviriyakul</dc:creator>
  <cp:lastModifiedBy>2th</cp:lastModifiedBy>
  <dcterms:created xsi:type="dcterms:W3CDTF">2020-10-20T02:28:00Z</dcterms:created>
  <cp:lastPrinted>2024-04-12T08:20:00Z</cp:lastPrinted>
  <dcterms:modified xsi:type="dcterms:W3CDTF">2026-07-30T18:19:44Z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8D11685B1BC84DAEAABCDA62A56191F2_13</vt:lpwstr>
  </property>
  <property fmtid="{D5CDD505-2E9C-101B-9397-08002B2CF9AE}" pid="3" name="KSOProductBuildVer">
    <vt:lpwstr>2052-12.1.0.18608</vt:lpwstr>
  </property>
  <property fmtid="{D5CDD505-2E9C-101B-9397-08002B2CF9AE}" pid="4" name="KSOReadingLayout">
    <vt:bool>true</vt:bool>
  </property>
</Properties>
</file>